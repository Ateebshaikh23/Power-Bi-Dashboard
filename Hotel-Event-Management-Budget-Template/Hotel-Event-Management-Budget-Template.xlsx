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cob\Documents\Templates\"/>
    </mc:Choice>
  </mc:AlternateContent>
  <xr:revisionPtr revIDLastSave="0" documentId="13_ncr:1_{B4E8D998-C7C6-49AC-9122-ADDFC775889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tel Event Management Budget" sheetId="1" r:id="rId1"/>
    <sheet name="!Helper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E4" i="2"/>
  <c r="E3" i="2"/>
  <c r="P43" i="1"/>
  <c r="C14" i="2" s="1"/>
  <c r="L43" i="1"/>
  <c r="C10" i="2" s="1"/>
  <c r="H43" i="1"/>
  <c r="C6" i="2" s="1"/>
  <c r="Q41" i="1"/>
  <c r="Q40" i="1"/>
  <c r="Q39" i="1" s="1"/>
  <c r="E16" i="1" s="1"/>
  <c r="F8" i="2" s="1"/>
  <c r="P39" i="1"/>
  <c r="O39" i="1"/>
  <c r="N39" i="1"/>
  <c r="M39" i="1"/>
  <c r="L39" i="1"/>
  <c r="K39" i="1"/>
  <c r="J39" i="1"/>
  <c r="I39" i="1"/>
  <c r="H39" i="1"/>
  <c r="G39" i="1"/>
  <c r="F39" i="1"/>
  <c r="E39" i="1"/>
  <c r="Q38" i="1"/>
  <c r="Q37" i="1"/>
  <c r="Q36" i="1"/>
  <c r="Q35" i="1" s="1"/>
  <c r="E15" i="1" s="1"/>
  <c r="F7" i="2" s="1"/>
  <c r="P35" i="1"/>
  <c r="O35" i="1"/>
  <c r="N35" i="1"/>
  <c r="M35" i="1"/>
  <c r="L35" i="1"/>
  <c r="K35" i="1"/>
  <c r="J35" i="1"/>
  <c r="I35" i="1"/>
  <c r="H35" i="1"/>
  <c r="G35" i="1"/>
  <c r="F35" i="1"/>
  <c r="E35" i="1"/>
  <c r="Q34" i="1"/>
  <c r="Q33" i="1"/>
  <c r="Q32" i="1"/>
  <c r="Q31" i="1" s="1"/>
  <c r="E14" i="1" s="1"/>
  <c r="F6" i="2" s="1"/>
  <c r="P31" i="1"/>
  <c r="O31" i="1"/>
  <c r="N31" i="1"/>
  <c r="M31" i="1"/>
  <c r="L31" i="1"/>
  <c r="K31" i="1"/>
  <c r="J31" i="1"/>
  <c r="I31" i="1"/>
  <c r="H31" i="1"/>
  <c r="G31" i="1"/>
  <c r="F31" i="1"/>
  <c r="E31" i="1"/>
  <c r="Q30" i="1"/>
  <c r="Q29" i="1"/>
  <c r="Q28" i="1"/>
  <c r="Q27" i="1" s="1"/>
  <c r="E13" i="1" s="1"/>
  <c r="F5" i="2" s="1"/>
  <c r="P27" i="1"/>
  <c r="O27" i="1"/>
  <c r="N27" i="1"/>
  <c r="M27" i="1"/>
  <c r="L27" i="1"/>
  <c r="K27" i="1"/>
  <c r="J27" i="1"/>
  <c r="I27" i="1"/>
  <c r="H27" i="1"/>
  <c r="G27" i="1"/>
  <c r="F27" i="1"/>
  <c r="E27" i="1"/>
  <c r="Q26" i="1"/>
  <c r="Q25" i="1"/>
  <c r="Q24" i="1"/>
  <c r="Q23" i="1" s="1"/>
  <c r="E12" i="1" s="1"/>
  <c r="F4" i="2" s="1"/>
  <c r="P23" i="1"/>
  <c r="O23" i="1"/>
  <c r="N23" i="1"/>
  <c r="M23" i="1"/>
  <c r="L23" i="1"/>
  <c r="K23" i="1"/>
  <c r="J23" i="1"/>
  <c r="I23" i="1"/>
  <c r="H23" i="1"/>
  <c r="G23" i="1"/>
  <c r="F23" i="1"/>
  <c r="E23" i="1"/>
  <c r="Q22" i="1"/>
  <c r="Q21" i="1"/>
  <c r="Q20" i="1"/>
  <c r="Q19" i="1" s="1"/>
  <c r="P19" i="1"/>
  <c r="O19" i="1"/>
  <c r="O43" i="1" s="1"/>
  <c r="C13" i="2" s="1"/>
  <c r="N19" i="1"/>
  <c r="N43" i="1" s="1"/>
  <c r="C12" i="2" s="1"/>
  <c r="M19" i="1"/>
  <c r="M43" i="1" s="1"/>
  <c r="C11" i="2" s="1"/>
  <c r="L19" i="1"/>
  <c r="K19" i="1"/>
  <c r="K43" i="1" s="1"/>
  <c r="C9" i="2" s="1"/>
  <c r="J19" i="1"/>
  <c r="J43" i="1" s="1"/>
  <c r="C8" i="2" s="1"/>
  <c r="I19" i="1"/>
  <c r="I43" i="1" s="1"/>
  <c r="C7" i="2" s="1"/>
  <c r="H19" i="1"/>
  <c r="G19" i="1"/>
  <c r="G43" i="1" s="1"/>
  <c r="C5" i="2" s="1"/>
  <c r="F19" i="1"/>
  <c r="F43" i="1" s="1"/>
  <c r="C4" i="2" s="1"/>
  <c r="E19" i="1"/>
  <c r="E43" i="1" s="1"/>
  <c r="C3" i="2" s="1"/>
  <c r="Q43" i="1" l="1"/>
  <c r="E11" i="1"/>
  <c r="F3" i="2" s="1"/>
</calcChain>
</file>

<file path=xl/sharedStrings.xml><?xml version="1.0" encoding="utf-8"?>
<sst xmlns="http://schemas.openxmlformats.org/spreadsheetml/2006/main" count="59" uniqueCount="40">
  <si>
    <t>EventPro Hospitality Solutions</t>
  </si>
  <si>
    <t>Hotel Event Management Budget</t>
  </si>
  <si>
    <t>Manager:</t>
  </si>
  <si>
    <t>Sophia Anderson</t>
  </si>
  <si>
    <t>Event Name:</t>
  </si>
  <si>
    <t>Grand Gala Year: 2024</t>
  </si>
  <si>
    <t>SUMMARY</t>
  </si>
  <si>
    <t>Venue and Facilities</t>
  </si>
  <si>
    <t>Catering and Food Services</t>
  </si>
  <si>
    <t>Entertainment and Performers</t>
  </si>
  <si>
    <t>Logistics and Transportation</t>
  </si>
  <si>
    <t>Marketing and Promotion</t>
  </si>
  <si>
    <t>Miscellaneous Expenses</t>
  </si>
  <si>
    <t>Expense 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</si>
  <si>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</si>
  <si>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</si>
  <si>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</si>
  <si>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</si>
  <si>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</si>
  <si>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</si>
  <si>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</si>
  <si>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</si>
  <si>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</si>
  <si>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</si>
  <si>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</si>
  <si>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</si>
  <si>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AMOUNT</t>
  </si>
  <si>
    <t>Event Space Rental</t>
  </si>
  <si>
    <t>Decorations</t>
  </si>
  <si>
    <t>Catering Services</t>
  </si>
  <si>
    <t>Beverages</t>
  </si>
  <si>
    <t>Live Entertainment</t>
  </si>
  <si>
    <t>Guest Speakers</t>
  </si>
  <si>
    <t>Event Transportation</t>
  </si>
  <si>
    <t>Equipment Rental</t>
  </si>
  <si>
    <t>Advertising Materials</t>
  </si>
  <si>
    <t>Digital Marketing Campaigns</t>
  </si>
  <si>
    <t>Event Insurance</t>
  </si>
  <si>
    <t>Total Budget:</t>
  </si>
  <si>
    <t>MONTLY 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</si>
</sst>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0"/>
      <color rgb="FF000000"/>
      <name val="Arial"/>
      <scheme val="minor"/>
    </font>
    <font>
      <sz val="10"/>
      <color theme="1"/>
      <name val="Poppins"/>
    </font>
    <font>
      <sz val="10"/>
      <color theme="1"/>
      <name val="Arial"/>
      <scheme val="minor"/>
    </font>
    <font>
      <sz val="18"/>
      <color rgb="FFFFFFFF"/>
      <name val="Barlow"/>
    </font>
    <font>
      <sz val="10"/>
      <name val="Arial"/>
    </font>
    <font>
      <b/>
      <sz val="21"/>
      <color rgb="FFFFFFFF"/>
      <name val="Barlow"/>
    </font>
    <font>
      <b/>
      <sz val="10"/>
      <color rgb="FFFFFFFF"/>
      <name val="Poppins"/>
    </font>
    <font>
      <b/>
      <sz val="12"/>
      <color rgb="FFFFFFFF"/>
      <name val="Poppins"/>
    </font>
    <font>
      <sz val="11"/>
      <color theme="1"/>
      <name val="Poppins"/>
    </font>
    <font>
      <b/>
      <sz val="12"/>
      <color rgb="FF5B0F00"/>
      <name val="Poppins"/>
    </font>
    <font>
      <b/>
      <sz val="12"/>
      <color rgb="FF660000"/>
      <name val="Poppins"/>
    </font>
    <font>
      <b/>
      <sz val="12"/>
      <color rgb="FF274E13"/>
      <name val="Poppins"/>
    </font>
    <font>
      <b/>
      <sz val="12"/>
      <color rgb="FF0C343D"/>
      <name val="Poppins"/>
    </font>
    <font>
      <b/>
      <sz val="12"/>
      <color rgb="FF073763"/>
      <name val="Poppins"/>
    </font>
    <font>
      <b/>
      <sz val="12"/>
      <color rgb="FF20124D"/>
      <name val="Poppins"/>
    </font>
    <font>
      <b/>
      <sz val="10"/>
      <color theme="1"/>
      <name val="Poppins"/>
    </font>
    <font>
      <sz val="10"/>
      <color theme="1"/>
      <name val="Poppins"/>
    </font>
    <font>
      <b/>
      <sz val="10"/>
      <color theme="1"/>
      <name val="Poppins"/>
    </font>
  </fonts>
  <fills count="9">
    <fill>
      <patternFill patternType="none"/>
    </fill>
    <fill>
      <patternFill patternType="gray125"/>
    </fill>
    <fill>
      <patternFill patternType="solid">
        <fgColor rgb="FF014F86"/>
        <bgColor rgb="FF014F86"/>
      </patternFill>
    </fill>
    <fill>
      <patternFill patternType="solid">
        <fgColor rgb="FFA9D6E5"/>
        <bgColor rgb="FFA9D6E5"/>
      </patternFill>
    </fill>
    <fill>
      <patternFill patternType="solid">
        <fgColor rgb="FF2A6F97"/>
        <bgColor rgb="FF2A6F97"/>
      </patternFill>
    </fill>
    <fill>
      <patternFill patternType="solid">
        <fgColor rgb="FF2C7DA0"/>
        <bgColor rgb="FF2C7DA0"/>
      </patternFill>
    </fill>
    <fill>
      <patternFill patternType="solid">
        <fgColor rgb="FF468FAF"/>
        <bgColor rgb="FF468FAF"/>
      </patternFill>
    </fill>
    <fill>
      <patternFill patternType="solid">
        <fgColor rgb="FF61A5C2"/>
        <bgColor rgb="FF61A5C2"/>
      </patternFill>
    </fill>
    <fill>
      <patternFill patternType="solid">
        <fgColor rgb="FF89C2D9"/>
        <bgColor rgb="FF89C2D9"/>
      </patternFill>
    </fill>
  </fills>
  <borders count="44">
    <border>
      <left/>
      <right/>
      <top/>
      <bottom/>
      <diagonal/>
    </border>
    <border>
      <left style="thin">
        <color rgb="FF468FAF"/>
      </left>
      <right/>
      <top style="thin">
        <color rgb="FF468FAF"/>
      </top>
      <bottom/>
      <diagonal/>
    </border>
    <border>
      <left/>
      <right/>
      <top style="thin">
        <color rgb="FF468FAF"/>
      </top>
      <bottom/>
      <diagonal/>
    </border>
    <border>
      <left/>
      <right style="thin">
        <color rgb="FF468FAF"/>
      </right>
      <top style="thin">
        <color rgb="FF468FAF"/>
      </top>
      <bottom/>
      <diagonal/>
    </border>
    <border>
      <left style="thin">
        <color rgb="FF468FAF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468FAF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/>
      <top/>
      <bottom style="hair">
        <color rgb="FFCCCCCC"/>
      </bottom>
      <diagonal/>
    </border>
    <border>
      <left/>
      <right style="thin">
        <color rgb="FFD9D9D9"/>
      </right>
      <top/>
      <bottom style="hair">
        <color rgb="FFCCCCCC"/>
      </bottom>
      <diagonal/>
    </border>
    <border>
      <left style="thin">
        <color rgb="FFD9D9D9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 style="thin">
        <color rgb="FFD9D9D9"/>
      </right>
      <top style="hair">
        <color rgb="FFCCCCCC"/>
      </top>
      <bottom style="hair">
        <color rgb="FFCCCCCC"/>
      </bottom>
      <diagonal/>
    </border>
    <border>
      <left style="thin">
        <color rgb="FFD9D9D9"/>
      </left>
      <right style="hair">
        <color rgb="FFCCCCCC"/>
      </right>
      <top style="hair">
        <color rgb="FFCCCCCC"/>
      </top>
      <bottom style="thin">
        <color rgb="FFD9D9D9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D9D9D9"/>
      </bottom>
      <diagonal/>
    </border>
    <border>
      <left style="hair">
        <color rgb="FFCCCCCC"/>
      </left>
      <right/>
      <top style="hair">
        <color rgb="FFCCCCCC"/>
      </top>
      <bottom style="thin">
        <color rgb="FFD9D9D9"/>
      </bottom>
      <diagonal/>
    </border>
    <border>
      <left/>
      <right style="thin">
        <color rgb="FFD9D9D9"/>
      </right>
      <top style="hair">
        <color rgb="FFCCCCCC"/>
      </top>
      <bottom style="thin">
        <color rgb="FFD9D9D9"/>
      </bottom>
      <diagonal/>
    </border>
    <border>
      <left style="hair">
        <color rgb="FFCCCCCC"/>
      </left>
      <right/>
      <top/>
      <bottom/>
      <diagonal/>
    </border>
    <border>
      <left/>
      <right/>
      <top/>
      <bottom style="hair">
        <color rgb="FFCCCCCC"/>
      </bottom>
      <diagonal/>
    </border>
    <border>
      <left/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/>
      <right/>
      <top style="hair">
        <color rgb="FFCCCCCC"/>
      </top>
      <bottom/>
      <diagonal/>
    </border>
    <border>
      <left/>
      <right/>
      <top style="hair">
        <color rgb="FFCCCCCC"/>
      </top>
      <bottom style="hair">
        <color rgb="FFCCCCCC"/>
      </bottom>
      <diagonal/>
    </border>
    <border>
      <left style="thin">
        <color rgb="FF468FAF"/>
      </left>
      <right/>
      <top/>
      <bottom style="thin">
        <color rgb="FF468FAF"/>
      </bottom>
      <diagonal/>
    </border>
    <border>
      <left/>
      <right/>
      <top/>
      <bottom style="thin">
        <color rgb="FF468FAF"/>
      </bottom>
      <diagonal/>
    </border>
    <border>
      <left/>
      <right style="thin">
        <color rgb="FF468FAF"/>
      </right>
      <top/>
      <bottom style="thin">
        <color rgb="FF468FAF"/>
      </bottom>
      <diagonal/>
    </border>
    <border>
      <left style="hair">
        <color rgb="FFD9D9D9"/>
      </left>
      <right/>
      <top style="hair">
        <color rgb="FFD9D9D9"/>
      </top>
      <bottom style="hair">
        <color rgb="FFD9D9D9"/>
      </bottom>
      <diagonal/>
    </border>
    <border>
      <left/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left" vertical="center"/>
    </xf>
    <xf numFmtId="0" fontId="8" fillId="3" borderId="28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4" fontId="15" fillId="0" borderId="32" xfId="0" applyNumberFormat="1" applyFont="1" applyBorder="1" applyAlignment="1">
      <alignment horizontal="left" vertical="center"/>
    </xf>
    <xf numFmtId="44" fontId="15" fillId="0" borderId="20" xfId="0" applyNumberFormat="1" applyFont="1" applyBorder="1" applyAlignment="1">
      <alignment horizontal="left" vertical="center"/>
    </xf>
    <xf numFmtId="0" fontId="16" fillId="0" borderId="25" xfId="0" applyFont="1" applyBorder="1" applyAlignment="1">
      <alignment vertical="center"/>
    </xf>
    <xf numFmtId="0" fontId="1" fillId="0" borderId="33" xfId="0" applyFont="1" applyBorder="1" applyAlignment="1">
      <alignment horizontal="left" vertical="center"/>
    </xf>
    <xf numFmtId="44" fontId="1" fillId="0" borderId="20" xfId="0" applyNumberFormat="1" applyFont="1" applyBorder="1" applyAlignment="1">
      <alignment horizontal="center" vertical="center"/>
    </xf>
    <xf numFmtId="44" fontId="1" fillId="0" borderId="34" xfId="0" applyNumberFormat="1" applyFont="1" applyBorder="1" applyAlignment="1">
      <alignment horizontal="center" vertical="center"/>
    </xf>
    <xf numFmtId="44" fontId="1" fillId="0" borderId="35" xfId="0" applyNumberFormat="1" applyFont="1" applyBorder="1" applyAlignment="1">
      <alignment horizontal="center" vertical="center"/>
    </xf>
    <xf numFmtId="44" fontId="1" fillId="0" borderId="36" xfId="0" applyNumberFormat="1" applyFont="1" applyBorder="1" applyAlignment="1">
      <alignment horizontal="center" vertical="center"/>
    </xf>
    <xf numFmtId="44" fontId="15" fillId="0" borderId="37" xfId="0" applyNumberFormat="1" applyFont="1" applyBorder="1" applyAlignment="1">
      <alignment horizontal="left" vertical="center"/>
    </xf>
    <xf numFmtId="44" fontId="15" fillId="0" borderId="33" xfId="0" applyNumberFormat="1" applyFont="1" applyBorder="1" applyAlignment="1">
      <alignment horizontal="left" vertical="center"/>
    </xf>
    <xf numFmtId="44" fontId="6" fillId="4" borderId="0" xfId="0" applyNumberFormat="1" applyFont="1" applyFill="1" applyAlignment="1">
      <alignment horizontal="center" vertical="center"/>
    </xf>
    <xf numFmtId="44" fontId="6" fillId="5" borderId="0" xfId="0" applyNumberFormat="1" applyFont="1" applyFill="1" applyAlignment="1">
      <alignment horizontal="center" vertical="center"/>
    </xf>
    <xf numFmtId="44" fontId="6" fillId="6" borderId="0" xfId="0" applyNumberFormat="1" applyFont="1" applyFill="1" applyAlignment="1">
      <alignment horizontal="center" vertical="center"/>
    </xf>
    <xf numFmtId="44" fontId="6" fillId="7" borderId="0" xfId="0" applyNumberFormat="1" applyFont="1" applyFill="1" applyAlignment="1">
      <alignment horizontal="center" vertical="center"/>
    </xf>
    <xf numFmtId="44" fontId="6" fillId="8" borderId="0" xfId="0" applyNumberFormat="1" applyFont="1" applyFill="1" applyAlignment="1">
      <alignment horizontal="center" vertical="center"/>
    </xf>
    <xf numFmtId="44" fontId="6" fillId="3" borderId="0" xfId="0" applyNumberFormat="1" applyFont="1" applyFill="1" applyAlignment="1">
      <alignment horizontal="center" vertical="center"/>
    </xf>
    <xf numFmtId="44" fontId="6" fillId="2" borderId="0" xfId="0" applyNumberFormat="1" applyFont="1" applyFill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44" fontId="16" fillId="0" borderId="2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64" fontId="16" fillId="0" borderId="43" xfId="0" applyNumberFormat="1" applyFont="1" applyBorder="1" applyAlignment="1">
      <alignment horizontal="center" vertical="center"/>
    </xf>
    <xf numFmtId="0" fontId="16" fillId="0" borderId="0" xfId="0" applyFont="1"/>
    <xf numFmtId="0" fontId="1" fillId="0" borderId="25" xfId="0" applyFont="1" applyBorder="1" applyAlignment="1">
      <alignment horizontal="left" vertical="center"/>
    </xf>
    <xf numFmtId="0" fontId="4" fillId="0" borderId="37" xfId="0" applyFont="1" applyBorder="1"/>
    <xf numFmtId="0" fontId="1" fillId="0" borderId="31" xfId="0" applyFont="1" applyBorder="1" applyAlignment="1">
      <alignment horizontal="left" vertical="center"/>
    </xf>
    <xf numFmtId="0" fontId="0" fillId="0" borderId="0" xfId="0" applyFont="1" applyAlignment="1"/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4" fillId="0" borderId="7" xfId="0" applyFont="1" applyBorder="1"/>
    <xf numFmtId="0" fontId="6" fillId="2" borderId="11" xfId="0" applyFont="1" applyFill="1" applyBorder="1" applyAlignment="1">
      <alignment horizontal="left" vertical="center"/>
    </xf>
    <xf numFmtId="0" fontId="4" fillId="0" borderId="13" xfId="0" applyFont="1" applyBorder="1"/>
    <xf numFmtId="0" fontId="1" fillId="0" borderId="14" xfId="0" applyFont="1" applyBorder="1" applyAlignment="1">
      <alignment horizontal="left" vertical="center"/>
    </xf>
    <xf numFmtId="0" fontId="4" fillId="0" borderId="15" xfId="0" applyFont="1" applyBorder="1"/>
    <xf numFmtId="0" fontId="7" fillId="2" borderId="16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5" fillId="2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11" xfId="0" applyFont="1" applyBorder="1"/>
    <xf numFmtId="0" fontId="4" fillId="0" borderId="12" xfId="0" applyFont="1" applyBorder="1"/>
    <xf numFmtId="0" fontId="3" fillId="2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164" fontId="11" fillId="0" borderId="25" xfId="0" applyNumberFormat="1" applyFont="1" applyBorder="1" applyAlignment="1">
      <alignment horizontal="center" vertical="center"/>
    </xf>
    <xf numFmtId="0" fontId="4" fillId="0" borderId="26" xfId="0" applyFont="1" applyBorder="1"/>
    <xf numFmtId="164" fontId="12" fillId="0" borderId="2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4" fillId="0" borderId="20" xfId="0" applyFont="1" applyBorder="1"/>
    <xf numFmtId="164" fontId="13" fillId="0" borderId="25" xfId="0" applyNumberFormat="1" applyFont="1" applyBorder="1" applyAlignment="1">
      <alignment horizontal="center" vertical="center"/>
    </xf>
    <xf numFmtId="164" fontId="14" fillId="0" borderId="29" xfId="0" applyNumberFormat="1" applyFont="1" applyBorder="1" applyAlignment="1">
      <alignment horizontal="center" vertical="center"/>
    </xf>
    <xf numFmtId="0" fontId="4" fillId="0" borderId="30" xfId="0" applyFont="1" applyBorder="1"/>
    <xf numFmtId="164" fontId="9" fillId="0" borderId="21" xfId="0" applyNumberFormat="1" applyFont="1" applyBorder="1" applyAlignment="1">
      <alignment horizontal="center" vertical="center"/>
    </xf>
    <xf numFmtId="0" fontId="4" fillId="0" borderId="22" xfId="0" applyFont="1" applyBorder="1"/>
    <xf numFmtId="164" fontId="10" fillId="0" borderId="25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33" xfId="0" applyFont="1" applyBorder="1"/>
    <xf numFmtId="0" fontId="17" fillId="0" borderId="41" xfId="0" applyFont="1" applyBorder="1" applyAlignment="1">
      <alignment horizontal="center" vertical="center"/>
    </xf>
    <xf numFmtId="0" fontId="4" fillId="0" borderId="4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+mn-lt"/>
              </a:defRPr>
            </a:pPr>
            <a:r>
              <a:rPr lang="en-US" sz="1600" b="1">
                <a:solidFill>
                  <a:srgbClr val="000000"/>
                </a:solidFill>
                <a:latin typeface="+mn-lt"/>
              </a:rPr>
              <a:t>MONTLY TOTAL BUDGET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61833844073872"/>
          <c:y val="0.16511168816663874"/>
          <c:w val="0.88073090808453303"/>
          <c:h val="0.6867317250237337"/>
        </c:manualLayout>
      </c:layout>
      <c:lineChart>
        <c:grouping val="standard"/>
        <c:varyColors val="0"/>
        <c:ser>
          <c:idx val="0"/>
          <c:order val="0"/>
          <c:spPr>
            <a:ln w="38100" cmpd="sng">
              <a:solidFill>
                <a:srgbClr val="013A63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013A63">
                  <a:alpha val="100000"/>
                </a:srgbClr>
              </a:solidFill>
              <a:ln cmpd="sng">
                <a:solidFill>
                  <a:srgbClr val="013A63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E564-4CEA-8473-E1AA61BBAB81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E564-4CEA-8473-E1AA61BBAB81}"/>
              </c:ext>
            </c:extLst>
          </c:dPt>
          <c:dLbls>
            <c:dLbl>
              <c:idx val="1"/>
              <c:layout>
                <c:manualLayout>
                  <c:x val="-3.2348808083193056E-2"/>
                  <c:y val="-9.2198581560283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64-4CEA-8473-E1AA61BBAB81}"/>
                </c:ext>
              </c:extLst>
            </c:dLbl>
            <c:dLbl>
              <c:idx val="2"/>
              <c:layout>
                <c:manualLayout>
                  <c:x val="-8.438819499963399E-3"/>
                  <c:y val="3.1914893617021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64-4CEA-8473-E1AA61BBAB81}"/>
                </c:ext>
              </c:extLst>
            </c:dLbl>
            <c:dLbl>
              <c:idx val="3"/>
              <c:layout>
                <c:manualLayout>
                  <c:x val="-1.265822924994515E-2"/>
                  <c:y val="-5.3191489361702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64-4CEA-8473-E1AA61BBAB81}"/>
                </c:ext>
              </c:extLst>
            </c:dLbl>
            <c:dLbl>
              <c:idx val="4"/>
              <c:layout>
                <c:manualLayout>
                  <c:x val="-5.625879666642266E-3"/>
                  <c:y val="2.12765957446808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64-4CEA-8473-E1AA61BBAB81}"/>
                </c:ext>
              </c:extLst>
            </c:dLbl>
            <c:dLbl>
              <c:idx val="5"/>
              <c:layout>
                <c:manualLayout>
                  <c:x val="-4.0787627583156426E-2"/>
                  <c:y val="-7.09219858156028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564-4CEA-8473-E1AA61BBAB81}"/>
                </c:ext>
              </c:extLst>
            </c:dLbl>
            <c:dLbl>
              <c:idx val="6"/>
              <c:layout>
                <c:manualLayout>
                  <c:x val="-1.5471169083266231E-2"/>
                  <c:y val="6.7375886524822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64-4CEA-8473-E1AA61BBAB81}"/>
                </c:ext>
              </c:extLst>
            </c:dLbl>
            <c:dLbl>
              <c:idx val="7"/>
              <c:layout>
                <c:manualLayout>
                  <c:x val="-5.7665266583083324E-2"/>
                  <c:y val="-7.09219858156028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64-4CEA-8473-E1AA61BBAB81}"/>
                </c:ext>
              </c:extLst>
            </c:dLbl>
            <c:dLbl>
              <c:idx val="8"/>
              <c:layout>
                <c:manualLayout>
                  <c:x val="-2.9535868249871894E-2"/>
                  <c:y val="6.7375886524822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564-4CEA-8473-E1AA61BBAB81}"/>
                </c:ext>
              </c:extLst>
            </c:dLbl>
            <c:dLbl>
              <c:idx val="9"/>
              <c:layout>
                <c:manualLayout>
                  <c:x val="-5.063291699978039E-2"/>
                  <c:y val="-7.44680851063829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564-4CEA-8473-E1AA61BBAB81}"/>
                </c:ext>
              </c:extLst>
            </c:dLbl>
            <c:dLbl>
              <c:idx val="10"/>
              <c:layout>
                <c:manualLayout>
                  <c:x val="-1.2658229249945202E-2"/>
                  <c:y val="3.1914893617021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564-4CEA-8473-E1AA61BBAB81}"/>
                </c:ext>
              </c:extLst>
            </c:dLbl>
            <c:dLbl>
              <c:idx val="11"/>
              <c:layout>
                <c:manualLayout>
                  <c:x val="-2.1097048749908497E-2"/>
                  <c:y val="-6.3829787234042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564-4CEA-8473-E1AA61BBAB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30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rgbClr val="A9D6E5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'!Helper'!$B$3:$B$14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'!Helper'!$C$3:$C$14</c:f>
              <c:numCache>
                <c:formatCode>_("$"* #,##0.00_);_("$"* \(#,##0.00\);_("$"* "-"??_);_(@_)</c:formatCode>
                <c:ptCount val="12"/>
                <c:pt idx="0">
                  <c:v>26000</c:v>
                </c:pt>
                <c:pt idx="1">
                  <c:v>36150</c:v>
                </c:pt>
                <c:pt idx="2">
                  <c:v>36800</c:v>
                </c:pt>
                <c:pt idx="3">
                  <c:v>37450</c:v>
                </c:pt>
                <c:pt idx="4">
                  <c:v>30100</c:v>
                </c:pt>
                <c:pt idx="5">
                  <c:v>36250</c:v>
                </c:pt>
                <c:pt idx="6">
                  <c:v>38400</c:v>
                </c:pt>
                <c:pt idx="7">
                  <c:v>40550</c:v>
                </c:pt>
                <c:pt idx="8">
                  <c:v>43700</c:v>
                </c:pt>
                <c:pt idx="9">
                  <c:v>42900</c:v>
                </c:pt>
                <c:pt idx="10">
                  <c:v>47500</c:v>
                </c:pt>
                <c:pt idx="11">
                  <c:v>68150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564-4CEA-8473-E1AA61BBA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314707"/>
        <c:axId val="1204446214"/>
      </c:lineChart>
      <c:catAx>
        <c:axId val="1472314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4446214"/>
        <c:crosses val="autoZero"/>
        <c:auto val="1"/>
        <c:lblAlgn val="ctr"/>
        <c:lblOffset val="100"/>
        <c:noMultiLvlLbl val="1"/>
      </c:catAx>
      <c:valAx>
        <c:axId val="1204446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2314707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+mn-lt"/>
              </a:defRPr>
            </a:pPr>
            <a:r>
              <a:rPr lang="en-US" sz="1600" b="1">
                <a:solidFill>
                  <a:srgbClr val="000000"/>
                </a:solidFill>
                <a:latin typeface="+mn-lt"/>
              </a:rPr>
              <a:t>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C7DA0"/>
              </a:solidFill>
            </c:spPr>
            <c:extLst>
              <c:ext xmlns:c16="http://schemas.microsoft.com/office/drawing/2014/chart" uri="{C3380CC4-5D6E-409C-BE32-E72D297353CC}">
                <c16:uniqueId val="{00000001-39D4-4F85-893D-73E15D8AB3E6}"/>
              </c:ext>
            </c:extLst>
          </c:dPt>
          <c:dPt>
            <c:idx val="1"/>
            <c:bubble3D val="0"/>
            <c:spPr>
              <a:solidFill>
                <a:srgbClr val="61A5C2"/>
              </a:solidFill>
            </c:spPr>
            <c:extLst>
              <c:ext xmlns:c16="http://schemas.microsoft.com/office/drawing/2014/chart" uri="{C3380CC4-5D6E-409C-BE32-E72D297353CC}">
                <c16:uniqueId val="{00000003-39D4-4F85-893D-73E15D8AB3E6}"/>
              </c:ext>
            </c:extLst>
          </c:dPt>
          <c:dPt>
            <c:idx val="2"/>
            <c:bubble3D val="0"/>
            <c:spPr>
              <a:solidFill>
                <a:srgbClr val="A9D6E5"/>
              </a:solidFill>
            </c:spPr>
            <c:extLst>
              <c:ext xmlns:c16="http://schemas.microsoft.com/office/drawing/2014/chart" uri="{C3380CC4-5D6E-409C-BE32-E72D297353CC}">
                <c16:uniqueId val="{00000005-39D4-4F85-893D-73E15D8AB3E6}"/>
              </c:ext>
            </c:extLst>
          </c:dPt>
          <c:dPt>
            <c:idx val="3"/>
            <c:bubble3D val="0"/>
            <c:spPr>
              <a:solidFill>
                <a:srgbClr val="013A63"/>
              </a:solidFill>
            </c:spPr>
            <c:extLst>
              <c:ext xmlns:c16="http://schemas.microsoft.com/office/drawing/2014/chart" uri="{C3380CC4-5D6E-409C-BE32-E72D297353CC}">
                <c16:uniqueId val="{00000007-39D4-4F85-893D-73E15D8AB3E6}"/>
              </c:ext>
            </c:extLst>
          </c:dPt>
          <c:dPt>
            <c:idx val="4"/>
            <c:bubble3D val="0"/>
            <c:spPr>
              <a:solidFill>
                <a:srgbClr val="014F86"/>
              </a:solidFill>
            </c:spPr>
            <c:extLst>
              <c:ext xmlns:c16="http://schemas.microsoft.com/office/drawing/2014/chart" uri="{C3380CC4-5D6E-409C-BE32-E72D297353CC}">
                <c16:uniqueId val="{00000009-39D4-4F85-893D-73E15D8AB3E6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9D4-4F85-893D-73E15D8AB3E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'!Helper'!$E$3:$E$8</c:f>
              <c:strCache>
                <c:ptCount val="6"/>
                <c:pt idx="0">
                  <c:v>Venue and Facilities</c:v>
                </c:pt>
                <c:pt idx="1">
                  <c:v>Catering and Food Services</c:v>
                </c:pt>
                <c:pt idx="2">
                  <c:v>Entertainment and Performers</c:v>
                </c:pt>
                <c:pt idx="3">
                  <c:v>Logistics and Transportation</c:v>
                </c:pt>
                <c:pt idx="4">
                  <c:v>Marketing and Promotion</c:v>
                </c:pt>
                <c:pt idx="5">
                  <c:v>Miscellaneous Expenses</c:v>
                </c:pt>
              </c:strCache>
            </c:strRef>
          </c:cat>
          <c:val>
            <c:numRef>
              <c:f>'!Helper'!$F$3:$F$8</c:f>
              <c:numCache>
                <c:formatCode>"$"#,##0.00</c:formatCode>
                <c:ptCount val="6"/>
                <c:pt idx="0">
                  <c:v>105350</c:v>
                </c:pt>
                <c:pt idx="1">
                  <c:v>129500</c:v>
                </c:pt>
                <c:pt idx="2">
                  <c:v>96500</c:v>
                </c:pt>
                <c:pt idx="3">
                  <c:v>59500</c:v>
                </c:pt>
                <c:pt idx="4">
                  <c:v>70100</c:v>
                </c:pt>
                <c:pt idx="5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D4-4F85-893D-73E15D8AB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485776</xdr:colOff>
      <xdr:row>4</xdr:row>
      <xdr:rowOff>228600</xdr:rowOff>
    </xdr:from>
    <xdr:ext cx="9029699" cy="35814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4</xdr:row>
      <xdr:rowOff>228600</xdr:rowOff>
    </xdr:from>
    <xdr:ext cx="4486275" cy="35814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5"/>
  <sheetViews>
    <sheetView showGridLines="0" tabSelected="1" topLeftCell="A33" workbookViewId="0">
      <selection activeCell="A46" sqref="A46:XFD1048576"/>
    </sheetView>
  </sheetViews>
  <sheetFormatPr defaultColWidth="0" defaultRowHeight="15.75" customHeight="1" zeroHeight="1" x14ac:dyDescent="0.2"/>
  <cols>
    <col min="1" max="2" width="4.42578125" customWidth="1"/>
    <col min="3" max="3" width="9.42578125" customWidth="1"/>
    <col min="4" max="4" width="27.7109375" customWidth="1"/>
    <col min="5" max="17" width="20.42578125" customWidth="1"/>
    <col min="18" max="19" width="4.42578125" customWidth="1"/>
    <col min="20" max="16384" width="12.5703125" hidden="1"/>
  </cols>
  <sheetData>
    <row r="1" spans="1:19" ht="2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" customHeight="1" x14ac:dyDescent="0.2">
      <c r="A2" s="1"/>
      <c r="B2" s="2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5"/>
      <c r="S2" s="6"/>
    </row>
    <row r="3" spans="1:19" ht="21" customHeight="1" x14ac:dyDescent="0.2">
      <c r="A3" s="1"/>
      <c r="B3" s="7"/>
      <c r="C3" s="67" t="s">
        <v>0</v>
      </c>
      <c r="D3" s="64"/>
      <c r="E3" s="64"/>
      <c r="F3" s="55"/>
      <c r="G3" s="1"/>
      <c r="H3" s="63" t="s">
        <v>1</v>
      </c>
      <c r="I3" s="64"/>
      <c r="J3" s="64"/>
      <c r="K3" s="64"/>
      <c r="L3" s="64"/>
      <c r="M3" s="64"/>
      <c r="N3" s="64"/>
      <c r="O3" s="64"/>
      <c r="P3" s="64"/>
      <c r="Q3" s="55"/>
      <c r="R3" s="8"/>
      <c r="S3" s="6"/>
    </row>
    <row r="4" spans="1:19" ht="21" customHeight="1" x14ac:dyDescent="0.2">
      <c r="A4" s="1"/>
      <c r="B4" s="7"/>
      <c r="C4" s="68"/>
      <c r="D4" s="52"/>
      <c r="E4" s="52"/>
      <c r="F4" s="69"/>
      <c r="G4" s="1"/>
      <c r="H4" s="65"/>
      <c r="I4" s="66"/>
      <c r="J4" s="66"/>
      <c r="K4" s="66"/>
      <c r="L4" s="66"/>
      <c r="M4" s="66"/>
      <c r="N4" s="66"/>
      <c r="O4" s="66"/>
      <c r="P4" s="66"/>
      <c r="Q4" s="57"/>
      <c r="R4" s="8"/>
      <c r="S4" s="6"/>
    </row>
    <row r="5" spans="1:19" ht="21" customHeight="1" x14ac:dyDescent="0.2">
      <c r="A5" s="1"/>
      <c r="B5" s="7"/>
      <c r="C5" s="65"/>
      <c r="D5" s="66"/>
      <c r="E5" s="66"/>
      <c r="F5" s="57"/>
      <c r="G5" s="1"/>
      <c r="H5" s="1"/>
      <c r="I5" s="9"/>
      <c r="J5" s="1"/>
      <c r="K5" s="1"/>
      <c r="L5" s="1"/>
      <c r="M5" s="1"/>
      <c r="N5" s="1"/>
      <c r="O5" s="1"/>
      <c r="P5" s="1"/>
      <c r="Q5" s="1"/>
      <c r="R5" s="8"/>
      <c r="S5" s="6"/>
    </row>
    <row r="6" spans="1:19" ht="7.5" customHeight="1" x14ac:dyDescent="0.2">
      <c r="A6" s="1"/>
      <c r="B6" s="7"/>
      <c r="C6" s="1"/>
      <c r="D6" s="1"/>
      <c r="E6" s="1"/>
      <c r="F6" s="10"/>
      <c r="G6" s="1"/>
      <c r="H6" s="9"/>
      <c r="I6" s="9"/>
      <c r="J6" s="1"/>
      <c r="K6" s="1"/>
      <c r="L6" s="1"/>
      <c r="M6" s="1"/>
      <c r="N6" s="1"/>
      <c r="O6" s="1"/>
      <c r="P6" s="1"/>
      <c r="Q6" s="1"/>
      <c r="R6" s="8"/>
      <c r="S6" s="6"/>
    </row>
    <row r="7" spans="1:19" ht="27.75" customHeight="1" x14ac:dyDescent="0.2">
      <c r="A7" s="1"/>
      <c r="B7" s="7"/>
      <c r="C7" s="54" t="s">
        <v>2</v>
      </c>
      <c r="D7" s="55"/>
      <c r="E7" s="58" t="s">
        <v>3</v>
      </c>
      <c r="F7" s="59"/>
      <c r="H7" s="1"/>
      <c r="J7" s="1"/>
      <c r="K7" s="1"/>
      <c r="L7" s="1"/>
      <c r="M7" s="1"/>
      <c r="N7" s="1"/>
      <c r="O7" s="1"/>
      <c r="P7" s="1"/>
      <c r="Q7" s="1"/>
      <c r="R7" s="8"/>
      <c r="S7" s="6"/>
    </row>
    <row r="8" spans="1:19" ht="27.75" customHeight="1" x14ac:dyDescent="0.2">
      <c r="A8" s="1"/>
      <c r="B8" s="7"/>
      <c r="C8" s="56" t="s">
        <v>4</v>
      </c>
      <c r="D8" s="57"/>
      <c r="E8" s="58" t="s">
        <v>5</v>
      </c>
      <c r="F8" s="59"/>
      <c r="H8" s="1"/>
      <c r="J8" s="1"/>
      <c r="K8" s="1"/>
      <c r="L8" s="1"/>
      <c r="M8" s="1"/>
      <c r="N8" s="1"/>
      <c r="O8" s="1"/>
      <c r="P8" s="1"/>
      <c r="Q8" s="1"/>
      <c r="R8" s="8"/>
      <c r="S8" s="6"/>
    </row>
    <row r="9" spans="1:19" ht="18.75" customHeight="1" x14ac:dyDescent="0.2">
      <c r="A9" s="1"/>
      <c r="B9" s="7"/>
      <c r="C9" s="11"/>
      <c r="D9" s="1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8"/>
      <c r="S9" s="1"/>
    </row>
    <row r="10" spans="1:19" ht="27.75" customHeight="1" x14ac:dyDescent="0.2">
      <c r="A10" s="1"/>
      <c r="B10" s="7"/>
      <c r="C10" s="60" t="s">
        <v>6</v>
      </c>
      <c r="D10" s="61"/>
      <c r="E10" s="61"/>
      <c r="F10" s="6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8"/>
      <c r="S10" s="1"/>
    </row>
    <row r="11" spans="1:19" ht="27.75" customHeight="1" x14ac:dyDescent="0.2">
      <c r="A11" s="1"/>
      <c r="B11" s="7"/>
      <c r="C11" s="74" t="s">
        <v>7</v>
      </c>
      <c r="D11" s="75"/>
      <c r="E11" s="79">
        <f>Q19</f>
        <v>105350</v>
      </c>
      <c r="F11" s="8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8"/>
      <c r="S11" s="1"/>
    </row>
    <row r="12" spans="1:19" ht="27.75" customHeight="1" x14ac:dyDescent="0.2">
      <c r="A12" s="1"/>
      <c r="B12" s="7"/>
      <c r="C12" s="12" t="s">
        <v>8</v>
      </c>
      <c r="D12" s="13"/>
      <c r="E12" s="81">
        <f>Q23</f>
        <v>129500</v>
      </c>
      <c r="F12" s="7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8"/>
      <c r="S12" s="1"/>
    </row>
    <row r="13" spans="1:19" ht="27.75" customHeight="1" x14ac:dyDescent="0.2">
      <c r="A13" s="1"/>
      <c r="B13" s="7"/>
      <c r="C13" s="12" t="s">
        <v>9</v>
      </c>
      <c r="D13" s="13"/>
      <c r="E13" s="70">
        <f>Q27</f>
        <v>96500</v>
      </c>
      <c r="F13" s="7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8"/>
      <c r="S13" s="1"/>
    </row>
    <row r="14" spans="1:19" ht="27.75" customHeight="1" x14ac:dyDescent="0.2">
      <c r="A14" s="1"/>
      <c r="B14" s="7"/>
      <c r="C14" s="12" t="s">
        <v>10</v>
      </c>
      <c r="D14" s="13"/>
      <c r="E14" s="72">
        <f>Q31</f>
        <v>59500</v>
      </c>
      <c r="F14" s="7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8"/>
      <c r="S14" s="1"/>
    </row>
    <row r="15" spans="1:19" ht="27.75" customHeight="1" x14ac:dyDescent="0.2">
      <c r="A15" s="1"/>
      <c r="B15" s="7"/>
      <c r="C15" s="12" t="s">
        <v>11</v>
      </c>
      <c r="D15" s="13"/>
      <c r="E15" s="76">
        <f>Q35</f>
        <v>70100</v>
      </c>
      <c r="F15" s="7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8"/>
      <c r="S15" s="1"/>
    </row>
    <row r="16" spans="1:19" ht="27.75" customHeight="1" x14ac:dyDescent="0.2">
      <c r="A16" s="1"/>
      <c r="B16" s="7"/>
      <c r="C16" s="14" t="s">
        <v>12</v>
      </c>
      <c r="D16" s="15"/>
      <c r="E16" s="77">
        <f>Q39</f>
        <v>23000</v>
      </c>
      <c r="F16" s="7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8"/>
      <c r="S16" s="1"/>
    </row>
    <row r="17" spans="1:19" ht="16.5" customHeight="1" x14ac:dyDescent="0.2">
      <c r="A17" s="1"/>
      <c r="B17" s="7"/>
      <c r="C17" s="73"/>
      <c r="D17" s="5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1"/>
    </row>
    <row r="18" spans="1:19" ht="31.5" customHeight="1" x14ac:dyDescent="0.2">
      <c r="A18" s="1"/>
      <c r="B18" s="7"/>
      <c r="C18" s="53" t="s">
        <v>13</v>
      </c>
      <c r="D18" s="52"/>
      <c r="E18" s="17" t="s">
        <v>14</v>
      </c>
      <c r="F18" s="18" t="s">
        <v>15</v>
      </c>
      <c r="G18" s="19" t="s">
        <v>16</v>
      </c>
      <c r="H18" s="20" t="s">
        <v>17</v>
      </c>
      <c r="I18" s="21" t="s">
        <v>18</v>
      </c>
      <c r="J18" s="22" t="s">
        <v>19</v>
      </c>
      <c r="K18" s="22" t="s">
        <v>20</v>
      </c>
      <c r="L18" s="21" t="s">
        <v>21</v>
      </c>
      <c r="M18" s="20" t="s">
        <v>22</v>
      </c>
      <c r="N18" s="19" t="s">
        <v>23</v>
      </c>
      <c r="O18" s="18" t="s">
        <v>24</v>
      </c>
      <c r="P18" s="17" t="s">
        <v>25</v>
      </c>
      <c r="Q18" s="16" t="s">
        <v>26</v>
      </c>
      <c r="R18" s="8"/>
      <c r="S18" s="1"/>
    </row>
    <row r="19" spans="1:19" ht="21" customHeight="1" x14ac:dyDescent="0.2">
      <c r="A19" s="1"/>
      <c r="B19" s="7"/>
      <c r="C19" s="51" t="s">
        <v>7</v>
      </c>
      <c r="D19" s="52"/>
      <c r="E19" s="23">
        <f t="shared" ref="E19:Q19" si="0">SUM(E20:E22)</f>
        <v>8000</v>
      </c>
      <c r="F19" s="23">
        <f t="shared" si="0"/>
        <v>8550</v>
      </c>
      <c r="G19" s="23">
        <f t="shared" si="0"/>
        <v>9100</v>
      </c>
      <c r="H19" s="23">
        <f t="shared" si="0"/>
        <v>9650</v>
      </c>
      <c r="I19" s="23">
        <f t="shared" si="0"/>
        <v>10200</v>
      </c>
      <c r="J19" s="23">
        <f t="shared" si="0"/>
        <v>8250</v>
      </c>
      <c r="K19" s="23">
        <f t="shared" si="0"/>
        <v>8300</v>
      </c>
      <c r="L19" s="23">
        <f t="shared" si="0"/>
        <v>8350</v>
      </c>
      <c r="M19" s="23">
        <f t="shared" si="0"/>
        <v>9400</v>
      </c>
      <c r="N19" s="23">
        <f t="shared" si="0"/>
        <v>6500</v>
      </c>
      <c r="O19" s="23">
        <f t="shared" si="0"/>
        <v>10500</v>
      </c>
      <c r="P19" s="23">
        <f t="shared" si="0"/>
        <v>8550</v>
      </c>
      <c r="Q19" s="24">
        <f t="shared" si="0"/>
        <v>105350</v>
      </c>
      <c r="R19" s="8"/>
      <c r="S19" s="1"/>
    </row>
    <row r="20" spans="1:19" ht="21" customHeight="1" x14ac:dyDescent="0.2">
      <c r="A20" s="1"/>
      <c r="B20" s="7"/>
      <c r="C20" s="25"/>
      <c r="D20" s="26" t="s">
        <v>27</v>
      </c>
      <c r="E20" s="27">
        <v>5000</v>
      </c>
      <c r="F20" s="28">
        <v>5050</v>
      </c>
      <c r="G20" s="27">
        <v>5100</v>
      </c>
      <c r="H20" s="28">
        <v>5150</v>
      </c>
      <c r="I20" s="27">
        <v>5200</v>
      </c>
      <c r="J20" s="28">
        <v>5250</v>
      </c>
      <c r="K20" s="27">
        <v>5300</v>
      </c>
      <c r="L20" s="28">
        <v>5350</v>
      </c>
      <c r="M20" s="27">
        <v>5400</v>
      </c>
      <c r="N20" s="29">
        <v>2000</v>
      </c>
      <c r="O20" s="27">
        <v>5500</v>
      </c>
      <c r="P20" s="28">
        <v>5550</v>
      </c>
      <c r="Q20" s="28">
        <f t="shared" ref="Q20:Q22" si="1">SUM(E20:P20)</f>
        <v>59850</v>
      </c>
      <c r="R20" s="8"/>
      <c r="S20" s="1"/>
    </row>
    <row r="21" spans="1:19" ht="21" customHeight="1" x14ac:dyDescent="0.2">
      <c r="A21" s="1"/>
      <c r="B21" s="7"/>
      <c r="C21" s="25"/>
      <c r="D21" s="26" t="s">
        <v>28</v>
      </c>
      <c r="E21" s="29">
        <v>3000</v>
      </c>
      <c r="F21" s="29">
        <v>3500</v>
      </c>
      <c r="G21" s="29">
        <v>4000</v>
      </c>
      <c r="H21" s="29">
        <v>4500</v>
      </c>
      <c r="I21" s="29">
        <v>5000</v>
      </c>
      <c r="J21" s="29">
        <v>3000</v>
      </c>
      <c r="K21" s="29">
        <v>3000</v>
      </c>
      <c r="L21" s="29">
        <v>3000</v>
      </c>
      <c r="M21" s="29">
        <v>4000</v>
      </c>
      <c r="N21" s="29">
        <v>4500</v>
      </c>
      <c r="O21" s="29">
        <v>5000</v>
      </c>
      <c r="P21" s="29">
        <v>3000</v>
      </c>
      <c r="Q21" s="28">
        <f t="shared" si="1"/>
        <v>45500</v>
      </c>
      <c r="R21" s="8"/>
      <c r="S21" s="1"/>
    </row>
    <row r="22" spans="1:19" ht="21" customHeight="1" x14ac:dyDescent="0.2">
      <c r="A22" s="1"/>
      <c r="B22" s="7"/>
      <c r="C22" s="25"/>
      <c r="D22" s="26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28">
        <f t="shared" si="1"/>
        <v>0</v>
      </c>
      <c r="R22" s="8"/>
      <c r="S22" s="1"/>
    </row>
    <row r="23" spans="1:19" ht="21" customHeight="1" x14ac:dyDescent="0.2">
      <c r="A23" s="1"/>
      <c r="B23" s="7"/>
      <c r="C23" s="49" t="s">
        <v>8</v>
      </c>
      <c r="D23" s="50"/>
      <c r="E23" s="31">
        <f t="shared" ref="E23:Q23" si="2">SUM(E24:E26)</f>
        <v>4000</v>
      </c>
      <c r="F23" s="31">
        <f t="shared" si="2"/>
        <v>10500</v>
      </c>
      <c r="G23" s="31">
        <f t="shared" si="2"/>
        <v>11000</v>
      </c>
      <c r="H23" s="31">
        <f t="shared" si="2"/>
        <v>11500</v>
      </c>
      <c r="I23" s="31">
        <f t="shared" si="2"/>
        <v>4000</v>
      </c>
      <c r="J23" s="31">
        <f t="shared" si="2"/>
        <v>12500</v>
      </c>
      <c r="K23" s="31">
        <f t="shared" si="2"/>
        <v>13000</v>
      </c>
      <c r="L23" s="31">
        <f t="shared" si="2"/>
        <v>13500</v>
      </c>
      <c r="M23" s="31">
        <f t="shared" si="2"/>
        <v>14000</v>
      </c>
      <c r="N23" s="31">
        <f t="shared" si="2"/>
        <v>14500</v>
      </c>
      <c r="O23" s="31">
        <f t="shared" si="2"/>
        <v>15000</v>
      </c>
      <c r="P23" s="31">
        <f t="shared" si="2"/>
        <v>6000</v>
      </c>
      <c r="Q23" s="32">
        <f t="shared" si="2"/>
        <v>129500</v>
      </c>
      <c r="R23" s="8"/>
      <c r="S23" s="1"/>
    </row>
    <row r="24" spans="1:19" ht="21" customHeight="1" x14ac:dyDescent="0.2">
      <c r="A24" s="1"/>
      <c r="B24" s="7"/>
      <c r="C24" s="25"/>
      <c r="D24" s="26" t="s">
        <v>29</v>
      </c>
      <c r="E24" s="29">
        <v>2000</v>
      </c>
      <c r="F24" s="28">
        <v>8500</v>
      </c>
      <c r="G24" s="28">
        <v>9000</v>
      </c>
      <c r="H24" s="28">
        <v>9500</v>
      </c>
      <c r="I24" s="29">
        <v>2000</v>
      </c>
      <c r="J24" s="28">
        <v>10500</v>
      </c>
      <c r="K24" s="28">
        <v>11000</v>
      </c>
      <c r="L24" s="28">
        <v>11500</v>
      </c>
      <c r="M24" s="28">
        <v>12000</v>
      </c>
      <c r="N24" s="28">
        <v>12500</v>
      </c>
      <c r="O24" s="28">
        <v>13000</v>
      </c>
      <c r="P24" s="29">
        <v>3000</v>
      </c>
      <c r="Q24" s="28">
        <f t="shared" ref="Q24:Q26" si="3">SUM(E24:P24)</f>
        <v>104500</v>
      </c>
      <c r="R24" s="8"/>
      <c r="S24" s="1"/>
    </row>
    <row r="25" spans="1:19" ht="21" customHeight="1" x14ac:dyDescent="0.2">
      <c r="A25" s="1"/>
      <c r="B25" s="7"/>
      <c r="C25" s="25"/>
      <c r="D25" s="26" t="s">
        <v>30</v>
      </c>
      <c r="E25" s="29">
        <v>2000</v>
      </c>
      <c r="F25" s="29">
        <v>2000</v>
      </c>
      <c r="G25" s="29">
        <v>2000</v>
      </c>
      <c r="H25" s="29">
        <v>2000</v>
      </c>
      <c r="I25" s="29">
        <v>2000</v>
      </c>
      <c r="J25" s="29">
        <v>2000</v>
      </c>
      <c r="K25" s="29">
        <v>2000</v>
      </c>
      <c r="L25" s="29">
        <v>2000</v>
      </c>
      <c r="M25" s="29">
        <v>2000</v>
      </c>
      <c r="N25" s="29">
        <v>2000</v>
      </c>
      <c r="O25" s="29">
        <v>2000</v>
      </c>
      <c r="P25" s="29">
        <v>3000</v>
      </c>
      <c r="Q25" s="28">
        <f t="shared" si="3"/>
        <v>25000</v>
      </c>
      <c r="R25" s="8"/>
      <c r="S25" s="1"/>
    </row>
    <row r="26" spans="1:19" ht="21" customHeight="1" x14ac:dyDescent="0.2">
      <c r="A26" s="1"/>
      <c r="B26" s="7"/>
      <c r="C26" s="25"/>
      <c r="D26" s="26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28">
        <f t="shared" si="3"/>
        <v>0</v>
      </c>
      <c r="R26" s="8"/>
      <c r="S26" s="1"/>
    </row>
    <row r="27" spans="1:19" ht="21" customHeight="1" x14ac:dyDescent="0.2">
      <c r="A27" s="1"/>
      <c r="B27" s="7"/>
      <c r="C27" s="49" t="s">
        <v>9</v>
      </c>
      <c r="D27" s="50"/>
      <c r="E27" s="31">
        <f t="shared" ref="E27:Q27" si="4">SUM(E28:E30)</f>
        <v>5000</v>
      </c>
      <c r="F27" s="31">
        <f t="shared" si="4"/>
        <v>7000</v>
      </c>
      <c r="G27" s="31">
        <f t="shared" si="4"/>
        <v>6500</v>
      </c>
      <c r="H27" s="31">
        <f t="shared" si="4"/>
        <v>6000</v>
      </c>
      <c r="I27" s="31">
        <f t="shared" si="4"/>
        <v>5500</v>
      </c>
      <c r="J27" s="31">
        <f t="shared" si="4"/>
        <v>5000</v>
      </c>
      <c r="K27" s="31">
        <f t="shared" si="4"/>
        <v>6500</v>
      </c>
      <c r="L27" s="31">
        <f t="shared" si="4"/>
        <v>8000</v>
      </c>
      <c r="M27" s="31">
        <f t="shared" si="4"/>
        <v>9500</v>
      </c>
      <c r="N27" s="31">
        <f t="shared" si="4"/>
        <v>11000</v>
      </c>
      <c r="O27" s="31">
        <f t="shared" si="4"/>
        <v>12500</v>
      </c>
      <c r="P27" s="31">
        <f t="shared" si="4"/>
        <v>14000</v>
      </c>
      <c r="Q27" s="32">
        <f t="shared" si="4"/>
        <v>96500</v>
      </c>
      <c r="R27" s="8"/>
      <c r="S27" s="1"/>
    </row>
    <row r="28" spans="1:19" ht="21" customHeight="1" x14ac:dyDescent="0.2">
      <c r="A28" s="1"/>
      <c r="B28" s="7"/>
      <c r="C28" s="25"/>
      <c r="D28" s="26" t="s">
        <v>31</v>
      </c>
      <c r="E28" s="29">
        <v>2000</v>
      </c>
      <c r="F28" s="28">
        <v>4000</v>
      </c>
      <c r="G28" s="28">
        <v>3500</v>
      </c>
      <c r="H28" s="28">
        <v>3000</v>
      </c>
      <c r="I28" s="28">
        <v>2500</v>
      </c>
      <c r="J28" s="28">
        <v>2000</v>
      </c>
      <c r="K28" s="28">
        <v>3500</v>
      </c>
      <c r="L28" s="28">
        <v>5000</v>
      </c>
      <c r="M28" s="28">
        <v>6500</v>
      </c>
      <c r="N28" s="28">
        <v>8000</v>
      </c>
      <c r="O28" s="28">
        <v>9500</v>
      </c>
      <c r="P28" s="28">
        <v>11000</v>
      </c>
      <c r="Q28" s="28">
        <f t="shared" ref="Q28:Q30" si="5">SUM(E28:P28)</f>
        <v>60500</v>
      </c>
      <c r="R28" s="8"/>
      <c r="S28" s="1"/>
    </row>
    <row r="29" spans="1:19" ht="21" customHeight="1" x14ac:dyDescent="0.2">
      <c r="A29" s="1"/>
      <c r="B29" s="7"/>
      <c r="C29" s="25"/>
      <c r="D29" s="26" t="s">
        <v>32</v>
      </c>
      <c r="E29" s="29">
        <v>3000</v>
      </c>
      <c r="F29" s="29">
        <v>3000</v>
      </c>
      <c r="G29" s="29">
        <v>3000</v>
      </c>
      <c r="H29" s="29">
        <v>3000</v>
      </c>
      <c r="I29" s="29">
        <v>3000</v>
      </c>
      <c r="J29" s="29">
        <v>3000</v>
      </c>
      <c r="K29" s="29">
        <v>3000</v>
      </c>
      <c r="L29" s="29">
        <v>3000</v>
      </c>
      <c r="M29" s="29">
        <v>3000</v>
      </c>
      <c r="N29" s="29">
        <v>3000</v>
      </c>
      <c r="O29" s="29">
        <v>3000</v>
      </c>
      <c r="P29" s="29">
        <v>3000</v>
      </c>
      <c r="Q29" s="28">
        <f t="shared" si="5"/>
        <v>36000</v>
      </c>
      <c r="R29" s="8"/>
      <c r="S29" s="1"/>
    </row>
    <row r="30" spans="1:19" ht="21" customHeight="1" x14ac:dyDescent="0.2">
      <c r="A30" s="1"/>
      <c r="B30" s="7"/>
      <c r="C30" s="25"/>
      <c r="D30" s="26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28">
        <f t="shared" si="5"/>
        <v>0</v>
      </c>
      <c r="R30" s="8"/>
      <c r="S30" s="1"/>
    </row>
    <row r="31" spans="1:19" ht="21" customHeight="1" x14ac:dyDescent="0.2">
      <c r="A31" s="1"/>
      <c r="B31" s="7"/>
      <c r="C31" s="49" t="s">
        <v>10</v>
      </c>
      <c r="D31" s="50"/>
      <c r="E31" s="31">
        <f t="shared" ref="E31:Q31" si="6">SUM(E32:E34)</f>
        <v>3500</v>
      </c>
      <c r="F31" s="31">
        <f t="shared" si="6"/>
        <v>3500</v>
      </c>
      <c r="G31" s="31">
        <f t="shared" si="6"/>
        <v>3500</v>
      </c>
      <c r="H31" s="31">
        <f t="shared" si="6"/>
        <v>3500</v>
      </c>
      <c r="I31" s="31">
        <f t="shared" si="6"/>
        <v>3500</v>
      </c>
      <c r="J31" s="31">
        <f t="shared" si="6"/>
        <v>3500</v>
      </c>
      <c r="K31" s="31">
        <f t="shared" si="6"/>
        <v>3500</v>
      </c>
      <c r="L31" s="31">
        <f t="shared" si="6"/>
        <v>3500</v>
      </c>
      <c r="M31" s="31">
        <f t="shared" si="6"/>
        <v>3500</v>
      </c>
      <c r="N31" s="31">
        <f t="shared" si="6"/>
        <v>3500</v>
      </c>
      <c r="O31" s="31">
        <f t="shared" si="6"/>
        <v>3500</v>
      </c>
      <c r="P31" s="31">
        <f t="shared" si="6"/>
        <v>21000</v>
      </c>
      <c r="Q31" s="32">
        <f t="shared" si="6"/>
        <v>59500</v>
      </c>
      <c r="R31" s="8"/>
      <c r="S31" s="1"/>
    </row>
    <row r="32" spans="1:19" ht="21" customHeight="1" x14ac:dyDescent="0.2">
      <c r="A32" s="1"/>
      <c r="B32" s="7"/>
      <c r="C32" s="25"/>
      <c r="D32" s="26" t="s">
        <v>33</v>
      </c>
      <c r="E32" s="28">
        <v>2000</v>
      </c>
      <c r="F32" s="28">
        <v>2000</v>
      </c>
      <c r="G32" s="28">
        <v>2000</v>
      </c>
      <c r="H32" s="28">
        <v>2000</v>
      </c>
      <c r="I32" s="28">
        <v>2000</v>
      </c>
      <c r="J32" s="28">
        <v>2000</v>
      </c>
      <c r="K32" s="28">
        <v>2000</v>
      </c>
      <c r="L32" s="28">
        <v>2000</v>
      </c>
      <c r="M32" s="28">
        <v>2000</v>
      </c>
      <c r="N32" s="28">
        <v>2000</v>
      </c>
      <c r="O32" s="28">
        <v>2000</v>
      </c>
      <c r="P32" s="29">
        <v>3000</v>
      </c>
      <c r="Q32" s="28">
        <f t="shared" ref="Q32:Q34" si="7">SUM(E32:P32)</f>
        <v>25000</v>
      </c>
      <c r="R32" s="8"/>
      <c r="S32" s="1"/>
    </row>
    <row r="33" spans="1:19" ht="21" customHeight="1" x14ac:dyDescent="0.2">
      <c r="A33" s="1"/>
      <c r="B33" s="7"/>
      <c r="C33" s="25"/>
      <c r="D33" s="26" t="s">
        <v>34</v>
      </c>
      <c r="E33" s="29">
        <v>1500</v>
      </c>
      <c r="F33" s="29">
        <v>1500</v>
      </c>
      <c r="G33" s="29">
        <v>1500</v>
      </c>
      <c r="H33" s="29">
        <v>1500</v>
      </c>
      <c r="I33" s="29">
        <v>1500</v>
      </c>
      <c r="J33" s="29">
        <v>1500</v>
      </c>
      <c r="K33" s="29">
        <v>1500</v>
      </c>
      <c r="L33" s="29">
        <v>1500</v>
      </c>
      <c r="M33" s="29">
        <v>1500</v>
      </c>
      <c r="N33" s="29">
        <v>1500</v>
      </c>
      <c r="O33" s="29">
        <v>1500</v>
      </c>
      <c r="P33" s="29">
        <v>18000</v>
      </c>
      <c r="Q33" s="28">
        <f t="shared" si="7"/>
        <v>34500</v>
      </c>
      <c r="R33" s="8"/>
      <c r="S33" s="1"/>
    </row>
    <row r="34" spans="1:19" ht="21" customHeight="1" x14ac:dyDescent="0.2">
      <c r="A34" s="1"/>
      <c r="B34" s="7"/>
      <c r="C34" s="25"/>
      <c r="D34" s="26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28">
        <f t="shared" si="7"/>
        <v>0</v>
      </c>
      <c r="R34" s="8"/>
      <c r="S34" s="1"/>
    </row>
    <row r="35" spans="1:19" ht="21" customHeight="1" x14ac:dyDescent="0.2">
      <c r="A35" s="1"/>
      <c r="B35" s="7"/>
      <c r="C35" s="49" t="s">
        <v>11</v>
      </c>
      <c r="D35" s="50"/>
      <c r="E35" s="31">
        <f t="shared" ref="E35:Q35" si="8">SUM(E36:E38)</f>
        <v>4500</v>
      </c>
      <c r="F35" s="31">
        <f t="shared" si="8"/>
        <v>5600</v>
      </c>
      <c r="G35" s="31">
        <f t="shared" si="8"/>
        <v>5700</v>
      </c>
      <c r="H35" s="31">
        <f t="shared" si="8"/>
        <v>5800</v>
      </c>
      <c r="I35" s="31">
        <f t="shared" si="8"/>
        <v>5900</v>
      </c>
      <c r="J35" s="31">
        <f t="shared" si="8"/>
        <v>6000</v>
      </c>
      <c r="K35" s="31">
        <f t="shared" si="8"/>
        <v>6100</v>
      </c>
      <c r="L35" s="31">
        <f t="shared" si="8"/>
        <v>6200</v>
      </c>
      <c r="M35" s="31">
        <f t="shared" si="8"/>
        <v>6300</v>
      </c>
      <c r="N35" s="31">
        <f t="shared" si="8"/>
        <v>6400</v>
      </c>
      <c r="O35" s="31">
        <f t="shared" si="8"/>
        <v>5000</v>
      </c>
      <c r="P35" s="31">
        <f t="shared" si="8"/>
        <v>6600</v>
      </c>
      <c r="Q35" s="32">
        <f t="shared" si="8"/>
        <v>70100</v>
      </c>
      <c r="R35" s="8"/>
      <c r="S35" s="1"/>
    </row>
    <row r="36" spans="1:19" ht="21" customHeight="1" x14ac:dyDescent="0.2">
      <c r="A36" s="1"/>
      <c r="B36" s="7"/>
      <c r="C36" s="25"/>
      <c r="D36" s="26" t="s">
        <v>35</v>
      </c>
      <c r="E36" s="28">
        <v>2500</v>
      </c>
      <c r="F36" s="28">
        <v>2600</v>
      </c>
      <c r="G36" s="28">
        <v>2700</v>
      </c>
      <c r="H36" s="28">
        <v>2800</v>
      </c>
      <c r="I36" s="28">
        <v>2900</v>
      </c>
      <c r="J36" s="28">
        <v>3000</v>
      </c>
      <c r="K36" s="28">
        <v>3100</v>
      </c>
      <c r="L36" s="28">
        <v>3200</v>
      </c>
      <c r="M36" s="28">
        <v>3300</v>
      </c>
      <c r="N36" s="28">
        <v>3400</v>
      </c>
      <c r="O36" s="29">
        <v>2000</v>
      </c>
      <c r="P36" s="28">
        <v>3600</v>
      </c>
      <c r="Q36" s="28">
        <f t="shared" ref="Q36:Q38" si="9">SUM(E36:P36)</f>
        <v>35100</v>
      </c>
      <c r="R36" s="8"/>
      <c r="S36" s="1"/>
    </row>
    <row r="37" spans="1:19" ht="21" customHeight="1" x14ac:dyDescent="0.2">
      <c r="A37" s="1"/>
      <c r="B37" s="7"/>
      <c r="C37" s="25"/>
      <c r="D37" s="26" t="s">
        <v>36</v>
      </c>
      <c r="E37" s="29">
        <v>2000</v>
      </c>
      <c r="F37" s="29">
        <v>3000</v>
      </c>
      <c r="G37" s="29">
        <v>3000</v>
      </c>
      <c r="H37" s="29">
        <v>3000</v>
      </c>
      <c r="I37" s="29">
        <v>3000</v>
      </c>
      <c r="J37" s="29">
        <v>3000</v>
      </c>
      <c r="K37" s="29">
        <v>3000</v>
      </c>
      <c r="L37" s="29">
        <v>3000</v>
      </c>
      <c r="M37" s="29">
        <v>3000</v>
      </c>
      <c r="N37" s="29">
        <v>3000</v>
      </c>
      <c r="O37" s="29">
        <v>3000</v>
      </c>
      <c r="P37" s="29">
        <v>3000</v>
      </c>
      <c r="Q37" s="28">
        <f t="shared" si="9"/>
        <v>35000</v>
      </c>
      <c r="R37" s="8"/>
      <c r="S37" s="1"/>
    </row>
    <row r="38" spans="1:19" ht="21" customHeight="1" x14ac:dyDescent="0.2">
      <c r="A38" s="1"/>
      <c r="B38" s="7"/>
      <c r="C38" s="25"/>
      <c r="D38" s="26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28">
        <f t="shared" si="9"/>
        <v>0</v>
      </c>
      <c r="R38" s="8"/>
      <c r="S38" s="1"/>
    </row>
    <row r="39" spans="1:19" ht="21" customHeight="1" x14ac:dyDescent="0.2">
      <c r="A39" s="1"/>
      <c r="B39" s="7"/>
      <c r="C39" s="49" t="s">
        <v>12</v>
      </c>
      <c r="D39" s="50"/>
      <c r="E39" s="31">
        <f t="shared" ref="E39:Q39" si="10">SUM(E40:E41)</f>
        <v>1000</v>
      </c>
      <c r="F39" s="31">
        <f t="shared" si="10"/>
        <v>1000</v>
      </c>
      <c r="G39" s="31">
        <f t="shared" si="10"/>
        <v>1000</v>
      </c>
      <c r="H39" s="31">
        <f t="shared" si="10"/>
        <v>1000</v>
      </c>
      <c r="I39" s="31">
        <f t="shared" si="10"/>
        <v>1000</v>
      </c>
      <c r="J39" s="31">
        <f t="shared" si="10"/>
        <v>1000</v>
      </c>
      <c r="K39" s="31">
        <f t="shared" si="10"/>
        <v>1000</v>
      </c>
      <c r="L39" s="31">
        <f t="shared" si="10"/>
        <v>1000</v>
      </c>
      <c r="M39" s="31">
        <f t="shared" si="10"/>
        <v>1000</v>
      </c>
      <c r="N39" s="31">
        <f t="shared" si="10"/>
        <v>1000</v>
      </c>
      <c r="O39" s="31">
        <f t="shared" si="10"/>
        <v>1000</v>
      </c>
      <c r="P39" s="31">
        <f t="shared" si="10"/>
        <v>12000</v>
      </c>
      <c r="Q39" s="32">
        <f t="shared" si="10"/>
        <v>23000</v>
      </c>
      <c r="R39" s="8"/>
      <c r="S39" s="1"/>
    </row>
    <row r="40" spans="1:19" ht="21" customHeight="1" x14ac:dyDescent="0.2">
      <c r="A40" s="1"/>
      <c r="B40" s="7"/>
      <c r="C40" s="25"/>
      <c r="D40" s="26" t="s">
        <v>37</v>
      </c>
      <c r="E40" s="28">
        <v>1000</v>
      </c>
      <c r="F40" s="28">
        <v>1000</v>
      </c>
      <c r="G40" s="28">
        <v>1000</v>
      </c>
      <c r="H40" s="28">
        <v>1000</v>
      </c>
      <c r="I40" s="28">
        <v>1000</v>
      </c>
      <c r="J40" s="28">
        <v>1000</v>
      </c>
      <c r="K40" s="28">
        <v>1000</v>
      </c>
      <c r="L40" s="28">
        <v>1000</v>
      </c>
      <c r="M40" s="28">
        <v>1000</v>
      </c>
      <c r="N40" s="28">
        <v>1000</v>
      </c>
      <c r="O40" s="28">
        <v>1000</v>
      </c>
      <c r="P40" s="28">
        <v>12000</v>
      </c>
      <c r="Q40" s="28">
        <f t="shared" ref="Q40:Q41" si="11">SUM(E40:P40)</f>
        <v>23000</v>
      </c>
      <c r="R40" s="8"/>
      <c r="S40" s="1"/>
    </row>
    <row r="41" spans="1:19" ht="21" customHeight="1" x14ac:dyDescent="0.2">
      <c r="A41" s="1"/>
      <c r="B41" s="7"/>
      <c r="C41" s="25"/>
      <c r="D41" s="26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>
        <f t="shared" si="11"/>
        <v>0</v>
      </c>
      <c r="R41" s="8"/>
      <c r="S41" s="1"/>
    </row>
    <row r="42" spans="1:19" ht="21" customHeight="1" x14ac:dyDescent="0.2">
      <c r="A42" s="1"/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8"/>
      <c r="S42" s="1"/>
    </row>
    <row r="43" spans="1:19" ht="31.5" customHeight="1" x14ac:dyDescent="0.2">
      <c r="A43" s="1"/>
      <c r="B43" s="7"/>
      <c r="C43" s="53" t="s">
        <v>38</v>
      </c>
      <c r="D43" s="52"/>
      <c r="E43" s="33">
        <f t="shared" ref="E43:Q43" si="12">SUM(E19+E23+E27+E31+E35+E39)</f>
        <v>26000</v>
      </c>
      <c r="F43" s="34">
        <f t="shared" si="12"/>
        <v>36150</v>
      </c>
      <c r="G43" s="35">
        <f t="shared" si="12"/>
        <v>36800</v>
      </c>
      <c r="H43" s="36">
        <f t="shared" si="12"/>
        <v>37450</v>
      </c>
      <c r="I43" s="37">
        <f t="shared" si="12"/>
        <v>30100</v>
      </c>
      <c r="J43" s="38">
        <f t="shared" si="12"/>
        <v>36250</v>
      </c>
      <c r="K43" s="38">
        <f t="shared" si="12"/>
        <v>38400</v>
      </c>
      <c r="L43" s="37">
        <f t="shared" si="12"/>
        <v>40550</v>
      </c>
      <c r="M43" s="36">
        <f t="shared" si="12"/>
        <v>43700</v>
      </c>
      <c r="N43" s="35">
        <f t="shared" si="12"/>
        <v>42900</v>
      </c>
      <c r="O43" s="34">
        <f t="shared" si="12"/>
        <v>47500</v>
      </c>
      <c r="P43" s="33">
        <f t="shared" si="12"/>
        <v>68150</v>
      </c>
      <c r="Q43" s="39">
        <f t="shared" si="12"/>
        <v>483950</v>
      </c>
      <c r="R43" s="8"/>
      <c r="S43" s="1"/>
    </row>
    <row r="44" spans="1:19" ht="22.5" customHeight="1" x14ac:dyDescent="0.2">
      <c r="A44" s="1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2"/>
      <c r="S44" s="1"/>
    </row>
    <row r="45" spans="1:19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</sheetData>
  <mergeCells count="23">
    <mergeCell ref="C39:D39"/>
    <mergeCell ref="C43:D43"/>
    <mergeCell ref="H3:Q4"/>
    <mergeCell ref="C3:F5"/>
    <mergeCell ref="E13:F13"/>
    <mergeCell ref="E14:F14"/>
    <mergeCell ref="C17:D17"/>
    <mergeCell ref="C11:D11"/>
    <mergeCell ref="E15:F15"/>
    <mergeCell ref="E16:F16"/>
    <mergeCell ref="E11:F11"/>
    <mergeCell ref="E12:F12"/>
    <mergeCell ref="C35:D35"/>
    <mergeCell ref="C7:D7"/>
    <mergeCell ref="C8:D8"/>
    <mergeCell ref="E7:F7"/>
    <mergeCell ref="E8:F8"/>
    <mergeCell ref="C10:F10"/>
    <mergeCell ref="C27:D27"/>
    <mergeCell ref="C31:D31"/>
    <mergeCell ref="C19:D19"/>
    <mergeCell ref="C18:D18"/>
    <mergeCell ref="C23:D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showGridLines="0" workbookViewId="0"/>
  </sheetViews>
  <sheetFormatPr defaultColWidth="12.5703125" defaultRowHeight="15.75" customHeight="1" x14ac:dyDescent="0.2"/>
  <cols>
    <col min="1" max="1" width="5.28515625" customWidth="1"/>
    <col min="2" max="3" width="24.85546875" customWidth="1"/>
    <col min="4" max="4" width="5.42578125" customWidth="1"/>
    <col min="5" max="5" width="38.5703125" customWidth="1"/>
    <col min="6" max="6" width="34.42578125" customWidth="1"/>
  </cols>
  <sheetData>
    <row r="1" spans="1:26" ht="26.25" customHeight="1" x14ac:dyDescent="0.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5.25" customHeight="1" x14ac:dyDescent="0.2">
      <c r="A2" s="43"/>
      <c r="B2" s="82" t="s">
        <v>39</v>
      </c>
      <c r="C2" s="83"/>
      <c r="D2" s="43"/>
      <c r="E2" s="84" t="s">
        <v>6</v>
      </c>
      <c r="F2" s="85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26.25" customHeight="1" x14ac:dyDescent="0.55000000000000004">
      <c r="A3" s="43"/>
      <c r="B3" s="44" t="s">
        <v>14</v>
      </c>
      <c r="C3" s="45">
        <f>'Hotel Event Management Budget'!E43</f>
        <v>26000</v>
      </c>
      <c r="D3" s="43"/>
      <c r="E3" s="46" t="str">
        <f>'Hotel Event Management Budget'!C11</f>
        <v>Venue and Facilities</v>
      </c>
      <c r="F3" s="47">
        <f>'Hotel Event Management Budget'!E11</f>
        <v>105350</v>
      </c>
      <c r="G3" s="48"/>
      <c r="H3" s="48"/>
      <c r="I3" s="48"/>
      <c r="J3" s="48"/>
      <c r="K3" s="48"/>
      <c r="L3" s="48"/>
      <c r="M3" s="48"/>
      <c r="N3" s="48"/>
      <c r="O3" s="48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26.25" customHeight="1" x14ac:dyDescent="0.2">
      <c r="A4" s="43"/>
      <c r="B4" s="44" t="s">
        <v>15</v>
      </c>
      <c r="C4" s="45">
        <f>'Hotel Event Management Budget'!F43</f>
        <v>36150</v>
      </c>
      <c r="D4" s="43"/>
      <c r="E4" s="46" t="str">
        <f>'Hotel Event Management Budget'!C12</f>
        <v>Catering and Food Services</v>
      </c>
      <c r="F4" s="47">
        <f>'Hotel Event Management Budget'!E12</f>
        <v>129500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26.25" customHeight="1" x14ac:dyDescent="0.2">
      <c r="A5" s="43"/>
      <c r="B5" s="44" t="s">
        <v>16</v>
      </c>
      <c r="C5" s="45">
        <f>'Hotel Event Management Budget'!G43</f>
        <v>36800</v>
      </c>
      <c r="D5" s="43"/>
      <c r="E5" s="46" t="str">
        <f>'Hotel Event Management Budget'!C13</f>
        <v>Entertainment and Performers</v>
      </c>
      <c r="F5" s="47">
        <f>'Hotel Event Management Budget'!E13</f>
        <v>96500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26.25" customHeight="1" x14ac:dyDescent="0.2">
      <c r="A6" s="43"/>
      <c r="B6" s="44" t="s">
        <v>17</v>
      </c>
      <c r="C6" s="45">
        <f>'Hotel Event Management Budget'!H43</f>
        <v>37450</v>
      </c>
      <c r="D6" s="43"/>
      <c r="E6" s="46" t="str">
        <f>'Hotel Event Management Budget'!C14</f>
        <v>Logistics and Transportation</v>
      </c>
      <c r="F6" s="47">
        <f>'Hotel Event Management Budget'!E14</f>
        <v>59500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26.25" customHeight="1" x14ac:dyDescent="0.2">
      <c r="A7" s="43"/>
      <c r="B7" s="44" t="s">
        <v>18</v>
      </c>
      <c r="C7" s="45">
        <f>'Hotel Event Management Budget'!I43</f>
        <v>30100</v>
      </c>
      <c r="D7" s="43"/>
      <c r="E7" s="46" t="str">
        <f>'Hotel Event Management Budget'!C15</f>
        <v>Marketing and Promotion</v>
      </c>
      <c r="F7" s="47">
        <f>'Hotel Event Management Budget'!E15</f>
        <v>70100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26.25" customHeight="1" x14ac:dyDescent="0.2">
      <c r="A8" s="43"/>
      <c r="B8" s="44" t="s">
        <v>19</v>
      </c>
      <c r="C8" s="45">
        <f>'Hotel Event Management Budget'!J43</f>
        <v>36250</v>
      </c>
      <c r="D8" s="43"/>
      <c r="E8" s="46" t="str">
        <f>'Hotel Event Management Budget'!C16</f>
        <v>Miscellaneous Expenses</v>
      </c>
      <c r="F8" s="47">
        <f>'Hotel Event Management Budget'!E16</f>
        <v>23000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26.25" customHeight="1" x14ac:dyDescent="0.2">
      <c r="A9" s="43"/>
      <c r="B9" s="44" t="s">
        <v>20</v>
      </c>
      <c r="C9" s="45">
        <f>'Hotel Event Management Budget'!K43</f>
        <v>38400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26.25" customHeight="1" x14ac:dyDescent="0.2">
      <c r="A10" s="43"/>
      <c r="B10" s="44" t="s">
        <v>21</v>
      </c>
      <c r="C10" s="45">
        <f>'Hotel Event Management Budget'!L43</f>
        <v>40550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26.25" customHeight="1" x14ac:dyDescent="0.2">
      <c r="A11" s="43"/>
      <c r="B11" s="44" t="s">
        <v>22</v>
      </c>
      <c r="C11" s="45">
        <f>'Hotel Event Management Budget'!M43</f>
        <v>43700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26.25" customHeight="1" x14ac:dyDescent="0.2">
      <c r="A12" s="43"/>
      <c r="B12" s="44" t="s">
        <v>23</v>
      </c>
      <c r="C12" s="45">
        <f>'Hotel Event Management Budget'!N43</f>
        <v>42900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26.25" customHeight="1" x14ac:dyDescent="0.2">
      <c r="A13" s="43"/>
      <c r="B13" s="44" t="s">
        <v>24</v>
      </c>
      <c r="C13" s="45">
        <f>'Hotel Event Management Budget'!O43</f>
        <v>47500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26.25" customHeight="1" x14ac:dyDescent="0.2">
      <c r="A14" s="43"/>
      <c r="B14" s="44" t="s">
        <v>25</v>
      </c>
      <c r="C14" s="45">
        <f>'Hotel Event Management Budget'!P43</f>
        <v>68150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26.25" customHeight="1" x14ac:dyDescent="0.2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26.25" customHeight="1" x14ac:dyDescent="0.2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26.25" customHeight="1" x14ac:dyDescent="0.2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26.25" customHeight="1" x14ac:dyDescent="0.2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26.25" customHeight="1" x14ac:dyDescent="0.2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26.25" customHeight="1" x14ac:dyDescent="0.2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26.25" customHeight="1" x14ac:dyDescent="0.2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26.25" customHeight="1" x14ac:dyDescent="0.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26.25" customHeight="1" x14ac:dyDescent="0.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26.25" customHeight="1" x14ac:dyDescent="0.2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26.25" customHeight="1" x14ac:dyDescent="0.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26.25" customHeight="1" x14ac:dyDescent="0.2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26.25" customHeight="1" x14ac:dyDescent="0.2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26.25" customHeight="1" x14ac:dyDescent="0.2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26.25" customHeight="1" x14ac:dyDescent="0.2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26.25" customHeight="1" x14ac:dyDescent="0.2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26.25" customHeight="1" x14ac:dyDescent="0.2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26.25" customHeight="1" x14ac:dyDescent="0.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26.25" customHeight="1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26.25" customHeight="1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26.25" customHeight="1" x14ac:dyDescent="0.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26.25" customHeight="1" x14ac:dyDescent="0.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26.25" customHeight="1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26.2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26.25" customHeight="1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26.25" customHeight="1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26.25" customHeight="1" x14ac:dyDescent="0.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26.25" customHeight="1" x14ac:dyDescent="0.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26.25" customHeight="1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6.25" customHeight="1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26.25" customHeight="1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26.25" customHeight="1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26.25" customHeight="1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26.25" customHeight="1" x14ac:dyDescent="0.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26.25" customHeight="1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26.25" customHeight="1" x14ac:dyDescent="0.2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26.25" customHeight="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26.25" customHeight="1" x14ac:dyDescent="0.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26.25" customHeight="1" x14ac:dyDescent="0.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26.25" customHeight="1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26.25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26.25" customHeight="1" x14ac:dyDescent="0.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26.25" customHeight="1" x14ac:dyDescent="0.2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26.25" customHeight="1" x14ac:dyDescent="0.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26.25" customHeight="1" x14ac:dyDescent="0.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26.25" customHeight="1" x14ac:dyDescent="0.2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26.25" customHeight="1" x14ac:dyDescent="0.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26.25" customHeight="1" x14ac:dyDescent="0.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26.25" customHeight="1" x14ac:dyDescent="0.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26.25" customHeight="1" x14ac:dyDescent="0.2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26.25" customHeight="1" x14ac:dyDescent="0.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26.25" customHeight="1" x14ac:dyDescent="0.2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26.25" customHeight="1" x14ac:dyDescent="0.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26.25" customHeight="1" x14ac:dyDescent="0.2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26.25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26.25" customHeight="1" x14ac:dyDescent="0.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26.25" customHeight="1" x14ac:dyDescent="0.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26.25" customHeight="1" x14ac:dyDescent="0.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26.25" customHeight="1" x14ac:dyDescent="0.2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26.25" customHeight="1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26.25" customHeight="1" x14ac:dyDescent="0.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26.25" customHeight="1" x14ac:dyDescent="0.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26.25" customHeight="1" x14ac:dyDescent="0.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26.25" customHeight="1" x14ac:dyDescent="0.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26.25" customHeight="1" x14ac:dyDescent="0.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26.25" customHeight="1" x14ac:dyDescent="0.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26.2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26.25" customHeight="1" x14ac:dyDescent="0.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26.25" customHeight="1" x14ac:dyDescent="0.2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26.25" customHeight="1" x14ac:dyDescent="0.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26.25" customHeight="1" x14ac:dyDescent="0.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26.25" customHeight="1" x14ac:dyDescent="0.2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26.25" customHeight="1" x14ac:dyDescent="0.2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26.25" customHeight="1" x14ac:dyDescent="0.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26.2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26.25" customHeight="1" x14ac:dyDescent="0.2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26.25" customHeight="1" x14ac:dyDescent="0.2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26.25" customHeight="1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26.25" customHeight="1" x14ac:dyDescent="0.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26.25" customHeight="1" x14ac:dyDescent="0.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26.25" customHeight="1" x14ac:dyDescent="0.2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26.25" customHeight="1" x14ac:dyDescent="0.2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26.25" customHeight="1" x14ac:dyDescent="0.2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26.25" customHeight="1" x14ac:dyDescent="0.2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26.25" customHeight="1" x14ac:dyDescent="0.2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26.25" customHeight="1" x14ac:dyDescent="0.2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26.25" customHeight="1" x14ac:dyDescent="0.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26.25" customHeight="1" x14ac:dyDescent="0.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26.25" customHeight="1" x14ac:dyDescent="0.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26.25" customHeight="1" x14ac:dyDescent="0.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26.25" customHeight="1" x14ac:dyDescent="0.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26.2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26.25" customHeight="1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26.25" customHeight="1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26.25" customHeight="1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26.25" customHeight="1" x14ac:dyDescent="0.2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26.25" customHeight="1" x14ac:dyDescent="0.2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26.25" customHeight="1" x14ac:dyDescent="0.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26.25" customHeight="1" x14ac:dyDescent="0.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26.25" customHeight="1" x14ac:dyDescent="0.2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26.25" customHeight="1" x14ac:dyDescent="0.2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26.25" customHeight="1" x14ac:dyDescent="0.2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26.25" customHeight="1" x14ac:dyDescent="0.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26.25" customHeight="1" x14ac:dyDescent="0.2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26.25" customHeight="1" x14ac:dyDescent="0.2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26.25" customHeight="1" x14ac:dyDescent="0.2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26.25" customHeight="1" x14ac:dyDescent="0.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26.25" customHeight="1" x14ac:dyDescent="0.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26.25" customHeight="1" x14ac:dyDescent="0.2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26.25" customHeight="1" x14ac:dyDescent="0.2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26.25" customHeight="1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26.25" customHeight="1" x14ac:dyDescent="0.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26.25" customHeight="1" x14ac:dyDescent="0.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26.25" customHeight="1" x14ac:dyDescent="0.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26.25" customHeight="1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26.25" customHeight="1" x14ac:dyDescent="0.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26.25" customHeight="1" x14ac:dyDescent="0.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26.25" customHeight="1" x14ac:dyDescent="0.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26.25" customHeight="1" x14ac:dyDescent="0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26.25" customHeight="1" x14ac:dyDescent="0.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26.25" customHeight="1" x14ac:dyDescent="0.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26.25" customHeight="1" x14ac:dyDescent="0.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26.25" customHeight="1" x14ac:dyDescent="0.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26.25" customHeight="1" x14ac:dyDescent="0.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26.25" customHeight="1" x14ac:dyDescent="0.2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26.25" customHeight="1" x14ac:dyDescent="0.2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26.25" customHeight="1" x14ac:dyDescent="0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26.25" customHeight="1" x14ac:dyDescent="0.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26.25" customHeight="1" x14ac:dyDescent="0.2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26.25" customHeight="1" x14ac:dyDescent="0.2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26.25" customHeight="1" x14ac:dyDescent="0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26.25" customHeight="1" x14ac:dyDescent="0.2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26.25" customHeight="1" x14ac:dyDescent="0.2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26.25" customHeight="1" x14ac:dyDescent="0.2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26.25" customHeight="1" x14ac:dyDescent="0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26.25" customHeight="1" x14ac:dyDescent="0.2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26.25" customHeight="1" x14ac:dyDescent="0.2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26.25" customHeight="1" x14ac:dyDescent="0.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26.25" customHeight="1" x14ac:dyDescent="0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26.25" customHeight="1" x14ac:dyDescent="0.2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26.25" customHeight="1" x14ac:dyDescent="0.2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26.25" customHeight="1" x14ac:dyDescent="0.2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26.25" customHeight="1" x14ac:dyDescent="0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26.25" customHeight="1" x14ac:dyDescent="0.2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26.25" customHeight="1" x14ac:dyDescent="0.2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26.25" customHeight="1" x14ac:dyDescent="0.2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26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26.25" customHeight="1" x14ac:dyDescent="0.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26.25" customHeight="1" x14ac:dyDescent="0.2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26.25" customHeight="1" x14ac:dyDescent="0.2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26.25" customHeight="1" x14ac:dyDescent="0.2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26.25" customHeight="1" x14ac:dyDescent="0.2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26.25" customHeight="1" x14ac:dyDescent="0.2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26.25" customHeight="1" x14ac:dyDescent="0.2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26.25" customHeight="1" x14ac:dyDescent="0.2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26.25" customHeight="1" x14ac:dyDescent="0.2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26.25" customHeight="1" x14ac:dyDescent="0.2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26.25" customHeight="1" x14ac:dyDescent="0.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26.25" customHeight="1" x14ac:dyDescent="0.2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26.25" customHeight="1" x14ac:dyDescent="0.2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26.25" customHeight="1" x14ac:dyDescent="0.2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26.25" customHeight="1" x14ac:dyDescent="0.2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26.25" customHeight="1" x14ac:dyDescent="0.2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26.25" customHeight="1" x14ac:dyDescent="0.2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26.25" customHeight="1" x14ac:dyDescent="0.2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26.25" customHeight="1" x14ac:dyDescent="0.2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26.25" customHeight="1" x14ac:dyDescent="0.2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26.25" customHeight="1" x14ac:dyDescent="0.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26.25" customHeight="1" x14ac:dyDescent="0.2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26.25" customHeight="1" x14ac:dyDescent="0.2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26.25" customHeight="1" x14ac:dyDescent="0.2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26.25" customHeight="1" x14ac:dyDescent="0.2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26.25" customHeight="1" x14ac:dyDescent="0.2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26.25" customHeight="1" x14ac:dyDescent="0.2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26.25" customHeight="1" x14ac:dyDescent="0.2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26.25" customHeight="1" x14ac:dyDescent="0.2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26.25" customHeight="1" x14ac:dyDescent="0.2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26.25" customHeight="1" x14ac:dyDescent="0.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26.25" customHeight="1" x14ac:dyDescent="0.2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26.25" customHeight="1" x14ac:dyDescent="0.2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26.25" customHeight="1" x14ac:dyDescent="0.2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26.25" customHeight="1" x14ac:dyDescent="0.2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26.25" customHeight="1" x14ac:dyDescent="0.2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26.25" customHeight="1" x14ac:dyDescent="0.2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26.25" customHeight="1" x14ac:dyDescent="0.2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26.25" customHeight="1" x14ac:dyDescent="0.2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26.25" customHeight="1" x14ac:dyDescent="0.2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26.25" customHeight="1" x14ac:dyDescent="0.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26.25" customHeight="1" x14ac:dyDescent="0.2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26.25" customHeight="1" x14ac:dyDescent="0.2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26.25" customHeight="1" x14ac:dyDescent="0.2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26.25" customHeight="1" x14ac:dyDescent="0.2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26.25" customHeight="1" x14ac:dyDescent="0.2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26.25" customHeight="1" x14ac:dyDescent="0.2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26.25" customHeight="1" x14ac:dyDescent="0.2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26.25" customHeight="1" x14ac:dyDescent="0.2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26.25" customHeight="1" x14ac:dyDescent="0.2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26.25" customHeight="1" x14ac:dyDescent="0.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26.25" customHeight="1" x14ac:dyDescent="0.2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26.25" customHeight="1" x14ac:dyDescent="0.2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26.25" customHeight="1" x14ac:dyDescent="0.2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26.25" customHeight="1" x14ac:dyDescent="0.2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26.25" customHeight="1" x14ac:dyDescent="0.2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26.25" customHeight="1" x14ac:dyDescent="0.2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26.25" customHeight="1" x14ac:dyDescent="0.2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26.25" customHeight="1" x14ac:dyDescent="0.2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26.25" customHeight="1" x14ac:dyDescent="0.2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26.25" customHeight="1" x14ac:dyDescent="0.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26.25" customHeight="1" x14ac:dyDescent="0.2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26.25" customHeight="1" x14ac:dyDescent="0.2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26.25" customHeight="1" x14ac:dyDescent="0.2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26.25" customHeight="1" x14ac:dyDescent="0.2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26.25" customHeight="1" x14ac:dyDescent="0.2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26.25" customHeight="1" x14ac:dyDescent="0.2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26.25" customHeight="1" x14ac:dyDescent="0.2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26.25" customHeight="1" x14ac:dyDescent="0.2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26.25" customHeight="1" x14ac:dyDescent="0.2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26.25" customHeight="1" x14ac:dyDescent="0.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26.25" customHeight="1" x14ac:dyDescent="0.2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26.25" customHeight="1" x14ac:dyDescent="0.2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26.25" customHeight="1" x14ac:dyDescent="0.2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26.25" customHeight="1" x14ac:dyDescent="0.2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26.25" customHeight="1" x14ac:dyDescent="0.2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26.25" customHeight="1" x14ac:dyDescent="0.2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26.25" customHeight="1" x14ac:dyDescent="0.2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26.25" customHeight="1" x14ac:dyDescent="0.2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26.25" customHeight="1" x14ac:dyDescent="0.2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26.25" customHeight="1" x14ac:dyDescent="0.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26.25" customHeight="1" x14ac:dyDescent="0.2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26.25" customHeight="1" x14ac:dyDescent="0.2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26.25" customHeight="1" x14ac:dyDescent="0.2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26.25" customHeight="1" x14ac:dyDescent="0.2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26.25" customHeight="1" x14ac:dyDescent="0.2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26.25" customHeight="1" x14ac:dyDescent="0.2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26.25" customHeight="1" x14ac:dyDescent="0.2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26.25" customHeight="1" x14ac:dyDescent="0.2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26.25" customHeight="1" x14ac:dyDescent="0.2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26.25" customHeight="1" x14ac:dyDescent="0.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26.25" customHeight="1" x14ac:dyDescent="0.2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26.25" customHeight="1" x14ac:dyDescent="0.2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26.25" customHeight="1" x14ac:dyDescent="0.2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26.25" customHeight="1" x14ac:dyDescent="0.2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26.25" customHeight="1" x14ac:dyDescent="0.2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26.25" customHeight="1" x14ac:dyDescent="0.2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26.25" customHeight="1" x14ac:dyDescent="0.2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26.25" customHeight="1" x14ac:dyDescent="0.2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26.25" customHeight="1" x14ac:dyDescent="0.2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26.25" customHeight="1" x14ac:dyDescent="0.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26.25" customHeight="1" x14ac:dyDescent="0.2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26.25" customHeight="1" x14ac:dyDescent="0.2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26.25" customHeight="1" x14ac:dyDescent="0.2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26.25" customHeight="1" x14ac:dyDescent="0.2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26.25" customHeight="1" x14ac:dyDescent="0.2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26.25" customHeight="1" x14ac:dyDescent="0.2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26.25" customHeight="1" x14ac:dyDescent="0.2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26.25" customHeight="1" x14ac:dyDescent="0.2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26.25" customHeight="1" x14ac:dyDescent="0.2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26.25" customHeight="1" x14ac:dyDescent="0.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26.25" customHeight="1" x14ac:dyDescent="0.2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26.25" customHeight="1" x14ac:dyDescent="0.2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26.25" customHeight="1" x14ac:dyDescent="0.2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26.25" customHeight="1" x14ac:dyDescent="0.2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26.25" customHeight="1" x14ac:dyDescent="0.2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26.25" customHeight="1" x14ac:dyDescent="0.2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26.25" customHeight="1" x14ac:dyDescent="0.2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26.25" customHeight="1" x14ac:dyDescent="0.2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26.25" customHeight="1" x14ac:dyDescent="0.2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26.25" customHeight="1" x14ac:dyDescent="0.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26.25" customHeight="1" x14ac:dyDescent="0.2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26.25" customHeight="1" x14ac:dyDescent="0.2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26.25" customHeight="1" x14ac:dyDescent="0.2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26.25" customHeight="1" x14ac:dyDescent="0.2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26.25" customHeight="1" x14ac:dyDescent="0.2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26.25" customHeight="1" x14ac:dyDescent="0.2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26.25" customHeight="1" x14ac:dyDescent="0.2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26.25" customHeight="1" x14ac:dyDescent="0.2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26.25" customHeight="1" x14ac:dyDescent="0.2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26.25" customHeight="1" x14ac:dyDescent="0.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26.25" customHeight="1" x14ac:dyDescent="0.2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26.25" customHeight="1" x14ac:dyDescent="0.2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26.25" customHeight="1" x14ac:dyDescent="0.2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26.25" customHeight="1" x14ac:dyDescent="0.2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26.25" customHeight="1" x14ac:dyDescent="0.2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26.25" customHeight="1" x14ac:dyDescent="0.2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26.25" customHeight="1" x14ac:dyDescent="0.2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26.25" customHeight="1" x14ac:dyDescent="0.2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26.25" customHeight="1" x14ac:dyDescent="0.2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26.25" customHeight="1" x14ac:dyDescent="0.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26.25" customHeight="1" x14ac:dyDescent="0.2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26.25" customHeight="1" x14ac:dyDescent="0.2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26.25" customHeight="1" x14ac:dyDescent="0.2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26.25" customHeight="1" x14ac:dyDescent="0.2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26.25" customHeight="1" x14ac:dyDescent="0.2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26.25" customHeight="1" x14ac:dyDescent="0.2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26.25" customHeight="1" x14ac:dyDescent="0.2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26.25" customHeight="1" x14ac:dyDescent="0.2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26.25" customHeight="1" x14ac:dyDescent="0.2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26.25" customHeight="1" x14ac:dyDescent="0.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26.25" customHeight="1" x14ac:dyDescent="0.2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26.25" customHeight="1" x14ac:dyDescent="0.2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26.25" customHeight="1" x14ac:dyDescent="0.2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26.25" customHeight="1" x14ac:dyDescent="0.2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26.25" customHeight="1" x14ac:dyDescent="0.2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26.25" customHeight="1" x14ac:dyDescent="0.2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26.25" customHeight="1" x14ac:dyDescent="0.2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26.25" customHeight="1" x14ac:dyDescent="0.2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26.25" customHeight="1" x14ac:dyDescent="0.2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26.25" customHeight="1" x14ac:dyDescent="0.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26.25" customHeight="1" x14ac:dyDescent="0.2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26.25" customHeight="1" x14ac:dyDescent="0.2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26.25" customHeight="1" x14ac:dyDescent="0.2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26.25" customHeight="1" x14ac:dyDescent="0.2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26.25" customHeight="1" x14ac:dyDescent="0.2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26.25" customHeight="1" x14ac:dyDescent="0.2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26.25" customHeight="1" x14ac:dyDescent="0.2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26.25" customHeight="1" x14ac:dyDescent="0.2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26.25" customHeight="1" x14ac:dyDescent="0.2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26.25" customHeight="1" x14ac:dyDescent="0.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26.25" customHeight="1" x14ac:dyDescent="0.2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26.25" customHeight="1" x14ac:dyDescent="0.2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26.25" customHeight="1" x14ac:dyDescent="0.2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26.25" customHeight="1" x14ac:dyDescent="0.2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26.25" customHeight="1" x14ac:dyDescent="0.2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26.25" customHeight="1" x14ac:dyDescent="0.2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26.25" customHeight="1" x14ac:dyDescent="0.2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26.25" customHeight="1" x14ac:dyDescent="0.2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26.25" customHeight="1" x14ac:dyDescent="0.2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26.25" customHeight="1" x14ac:dyDescent="0.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26.25" customHeight="1" x14ac:dyDescent="0.2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26.25" customHeight="1" x14ac:dyDescent="0.2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26.25" customHeight="1" x14ac:dyDescent="0.2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26.25" customHeight="1" x14ac:dyDescent="0.2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26.25" customHeight="1" x14ac:dyDescent="0.2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26.25" customHeight="1" x14ac:dyDescent="0.2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26.25" customHeight="1" x14ac:dyDescent="0.2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26.25" customHeight="1" x14ac:dyDescent="0.2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26.25" customHeight="1" x14ac:dyDescent="0.2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26.25" customHeight="1" x14ac:dyDescent="0.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26.25" customHeight="1" x14ac:dyDescent="0.2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26.25" customHeight="1" x14ac:dyDescent="0.2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26.25" customHeight="1" x14ac:dyDescent="0.2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26.25" customHeight="1" x14ac:dyDescent="0.2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26.25" customHeight="1" x14ac:dyDescent="0.2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26.25" customHeight="1" x14ac:dyDescent="0.2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26.25" customHeight="1" x14ac:dyDescent="0.2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26.25" customHeight="1" x14ac:dyDescent="0.2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26.25" customHeight="1" x14ac:dyDescent="0.2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26.25" customHeight="1" x14ac:dyDescent="0.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26.25" customHeight="1" x14ac:dyDescent="0.2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26.25" customHeight="1" x14ac:dyDescent="0.2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26.25" customHeight="1" x14ac:dyDescent="0.2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26.25" customHeight="1" x14ac:dyDescent="0.2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26.25" customHeight="1" x14ac:dyDescent="0.2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26.25" customHeight="1" x14ac:dyDescent="0.2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26.25" customHeight="1" x14ac:dyDescent="0.2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26.25" customHeight="1" x14ac:dyDescent="0.2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26.25" customHeight="1" x14ac:dyDescent="0.2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26.25" customHeight="1" x14ac:dyDescent="0.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26.25" customHeight="1" x14ac:dyDescent="0.2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26.25" customHeight="1" x14ac:dyDescent="0.2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26.25" customHeight="1" x14ac:dyDescent="0.2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26.25" customHeight="1" x14ac:dyDescent="0.2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26.25" customHeight="1" x14ac:dyDescent="0.2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26.25" customHeight="1" x14ac:dyDescent="0.2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26.25" customHeight="1" x14ac:dyDescent="0.2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26.25" customHeight="1" x14ac:dyDescent="0.2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26.25" customHeight="1" x14ac:dyDescent="0.2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26.25" customHeight="1" x14ac:dyDescent="0.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26.25" customHeight="1" x14ac:dyDescent="0.2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26.25" customHeight="1" x14ac:dyDescent="0.2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26.25" customHeight="1" x14ac:dyDescent="0.2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26.25" customHeight="1" x14ac:dyDescent="0.2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26.25" customHeight="1" x14ac:dyDescent="0.2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26.25" customHeight="1" x14ac:dyDescent="0.2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26.25" customHeight="1" x14ac:dyDescent="0.2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26.25" customHeight="1" x14ac:dyDescent="0.2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26.25" customHeight="1" x14ac:dyDescent="0.2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26.25" customHeight="1" x14ac:dyDescent="0.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26.25" customHeight="1" x14ac:dyDescent="0.2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26.25" customHeight="1" x14ac:dyDescent="0.2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26.25" customHeight="1" x14ac:dyDescent="0.2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26.25" customHeight="1" x14ac:dyDescent="0.2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26.25" customHeight="1" x14ac:dyDescent="0.2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26.25" customHeight="1" x14ac:dyDescent="0.2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26.25" customHeight="1" x14ac:dyDescent="0.2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26.25" customHeight="1" x14ac:dyDescent="0.2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26.25" customHeight="1" x14ac:dyDescent="0.2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26.25" customHeight="1" x14ac:dyDescent="0.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26.25" customHeight="1" x14ac:dyDescent="0.2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26.25" customHeight="1" x14ac:dyDescent="0.2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26.25" customHeight="1" x14ac:dyDescent="0.2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26.25" customHeight="1" x14ac:dyDescent="0.2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26.25" customHeight="1" x14ac:dyDescent="0.2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26.25" customHeight="1" x14ac:dyDescent="0.2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26.25" customHeight="1" x14ac:dyDescent="0.2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26.25" customHeight="1" x14ac:dyDescent="0.2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26.25" customHeight="1" x14ac:dyDescent="0.2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26.25" customHeight="1" x14ac:dyDescent="0.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26.25" customHeight="1" x14ac:dyDescent="0.2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26.25" customHeight="1" x14ac:dyDescent="0.2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26.25" customHeight="1" x14ac:dyDescent="0.2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26.25" customHeight="1" x14ac:dyDescent="0.2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26.25" customHeight="1" x14ac:dyDescent="0.2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26.25" customHeight="1" x14ac:dyDescent="0.2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26.25" customHeight="1" x14ac:dyDescent="0.2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26.25" customHeight="1" x14ac:dyDescent="0.2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26.25" customHeight="1" x14ac:dyDescent="0.2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26.25" customHeight="1" x14ac:dyDescent="0.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26.25" customHeight="1" x14ac:dyDescent="0.2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26.25" customHeight="1" x14ac:dyDescent="0.2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26.25" customHeight="1" x14ac:dyDescent="0.2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26.25" customHeight="1" x14ac:dyDescent="0.2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26.25" customHeight="1" x14ac:dyDescent="0.2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26.25" customHeight="1" x14ac:dyDescent="0.2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26.25" customHeight="1" x14ac:dyDescent="0.2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26.25" customHeight="1" x14ac:dyDescent="0.2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26.25" customHeight="1" x14ac:dyDescent="0.2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26.25" customHeight="1" x14ac:dyDescent="0.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26.25" customHeight="1" x14ac:dyDescent="0.2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26.25" customHeight="1" x14ac:dyDescent="0.2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26.25" customHeight="1" x14ac:dyDescent="0.2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26.25" customHeight="1" x14ac:dyDescent="0.2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26.25" customHeight="1" x14ac:dyDescent="0.2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26.25" customHeight="1" x14ac:dyDescent="0.2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26.25" customHeight="1" x14ac:dyDescent="0.2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26.25" customHeight="1" x14ac:dyDescent="0.2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26.25" customHeight="1" x14ac:dyDescent="0.2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26.25" customHeight="1" x14ac:dyDescent="0.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26.25" customHeight="1" x14ac:dyDescent="0.2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26.25" customHeight="1" x14ac:dyDescent="0.2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26.25" customHeight="1" x14ac:dyDescent="0.2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26.25" customHeight="1" x14ac:dyDescent="0.2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26.25" customHeight="1" x14ac:dyDescent="0.2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26.25" customHeight="1" x14ac:dyDescent="0.2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26.25" customHeight="1" x14ac:dyDescent="0.2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26.25" customHeight="1" x14ac:dyDescent="0.2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26.25" customHeight="1" x14ac:dyDescent="0.2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26.25" customHeight="1" x14ac:dyDescent="0.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26.25" customHeight="1" x14ac:dyDescent="0.2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26.25" customHeight="1" x14ac:dyDescent="0.2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26.25" customHeight="1" x14ac:dyDescent="0.2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26.25" customHeight="1" x14ac:dyDescent="0.2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26.25" customHeight="1" x14ac:dyDescent="0.2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26.25" customHeight="1" x14ac:dyDescent="0.2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26.25" customHeight="1" x14ac:dyDescent="0.2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26.25" customHeight="1" x14ac:dyDescent="0.2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26.25" customHeight="1" x14ac:dyDescent="0.2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26.25" customHeight="1" x14ac:dyDescent="0.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26.25" customHeight="1" x14ac:dyDescent="0.2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26.25" customHeight="1" x14ac:dyDescent="0.2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26.25" customHeight="1" x14ac:dyDescent="0.2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26.25" customHeight="1" x14ac:dyDescent="0.2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26.25" customHeight="1" x14ac:dyDescent="0.2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26.25" customHeight="1" x14ac:dyDescent="0.2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26.25" customHeight="1" x14ac:dyDescent="0.2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26.25" customHeight="1" x14ac:dyDescent="0.2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26.25" customHeight="1" x14ac:dyDescent="0.2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26.25" customHeight="1" x14ac:dyDescent="0.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26.25" customHeight="1" x14ac:dyDescent="0.2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26.25" customHeight="1" x14ac:dyDescent="0.2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26.25" customHeight="1" x14ac:dyDescent="0.2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26.25" customHeight="1" x14ac:dyDescent="0.2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26.25" customHeight="1" x14ac:dyDescent="0.2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26.25" customHeight="1" x14ac:dyDescent="0.2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26.25" customHeight="1" x14ac:dyDescent="0.2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26.25" customHeight="1" x14ac:dyDescent="0.2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26.25" customHeight="1" x14ac:dyDescent="0.2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26.25" customHeight="1" x14ac:dyDescent="0.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26.25" customHeight="1" x14ac:dyDescent="0.2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26.25" customHeight="1" x14ac:dyDescent="0.2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26.25" customHeight="1" x14ac:dyDescent="0.2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26.25" customHeight="1" x14ac:dyDescent="0.2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26.25" customHeight="1" x14ac:dyDescent="0.2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26.25" customHeight="1" x14ac:dyDescent="0.2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26.25" customHeight="1" x14ac:dyDescent="0.2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26.25" customHeight="1" x14ac:dyDescent="0.2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26.25" customHeight="1" x14ac:dyDescent="0.2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26.25" customHeight="1" x14ac:dyDescent="0.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26.25" customHeight="1" x14ac:dyDescent="0.2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26.25" customHeight="1" x14ac:dyDescent="0.2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26.25" customHeight="1" x14ac:dyDescent="0.2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26.25" customHeight="1" x14ac:dyDescent="0.2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26.25" customHeight="1" x14ac:dyDescent="0.2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26.25" customHeight="1" x14ac:dyDescent="0.2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26.25" customHeight="1" x14ac:dyDescent="0.2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26.25" customHeight="1" x14ac:dyDescent="0.2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26.25" customHeight="1" x14ac:dyDescent="0.2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26.25" customHeight="1" x14ac:dyDescent="0.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26.25" customHeight="1" x14ac:dyDescent="0.2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26.25" customHeight="1" x14ac:dyDescent="0.2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26.25" customHeight="1" x14ac:dyDescent="0.2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26.25" customHeight="1" x14ac:dyDescent="0.2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26.25" customHeight="1" x14ac:dyDescent="0.2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26.25" customHeight="1" x14ac:dyDescent="0.2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26.25" customHeight="1" x14ac:dyDescent="0.2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26.25" customHeight="1" x14ac:dyDescent="0.2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26.25" customHeight="1" x14ac:dyDescent="0.2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26.25" customHeight="1" x14ac:dyDescent="0.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26.25" customHeight="1" x14ac:dyDescent="0.2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26.25" customHeight="1" x14ac:dyDescent="0.2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26.25" customHeight="1" x14ac:dyDescent="0.2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26.25" customHeight="1" x14ac:dyDescent="0.2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26.25" customHeight="1" x14ac:dyDescent="0.2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26.25" customHeight="1" x14ac:dyDescent="0.2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26.25" customHeight="1" x14ac:dyDescent="0.2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26.25" customHeight="1" x14ac:dyDescent="0.2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26.25" customHeight="1" x14ac:dyDescent="0.2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26.25" customHeight="1" x14ac:dyDescent="0.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26.25" customHeight="1" x14ac:dyDescent="0.2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26.25" customHeight="1" x14ac:dyDescent="0.2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26.25" customHeight="1" x14ac:dyDescent="0.2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26.25" customHeight="1" x14ac:dyDescent="0.2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26.25" customHeight="1" x14ac:dyDescent="0.2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26.25" customHeight="1" x14ac:dyDescent="0.2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26.25" customHeight="1" x14ac:dyDescent="0.2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26.25" customHeight="1" x14ac:dyDescent="0.2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26.25" customHeight="1" x14ac:dyDescent="0.2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26.25" customHeight="1" x14ac:dyDescent="0.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26.25" customHeight="1" x14ac:dyDescent="0.2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26.25" customHeight="1" x14ac:dyDescent="0.2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26.25" customHeight="1" x14ac:dyDescent="0.2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26.25" customHeight="1" x14ac:dyDescent="0.2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26.25" customHeight="1" x14ac:dyDescent="0.2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26.25" customHeight="1" x14ac:dyDescent="0.2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26.25" customHeight="1" x14ac:dyDescent="0.2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26.25" customHeight="1" x14ac:dyDescent="0.2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26.25" customHeight="1" x14ac:dyDescent="0.2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26.25" customHeight="1" x14ac:dyDescent="0.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26.25" customHeight="1" x14ac:dyDescent="0.2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26.25" customHeight="1" x14ac:dyDescent="0.2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26.25" customHeight="1" x14ac:dyDescent="0.2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26.25" customHeight="1" x14ac:dyDescent="0.2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26.25" customHeight="1" x14ac:dyDescent="0.2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26.25" customHeight="1" x14ac:dyDescent="0.2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26.25" customHeight="1" x14ac:dyDescent="0.2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26.25" customHeight="1" x14ac:dyDescent="0.2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26.25" customHeight="1" x14ac:dyDescent="0.2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26.25" customHeight="1" x14ac:dyDescent="0.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26.25" customHeight="1" x14ac:dyDescent="0.2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26.25" customHeight="1" x14ac:dyDescent="0.2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26.25" customHeight="1" x14ac:dyDescent="0.2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26.25" customHeight="1" x14ac:dyDescent="0.2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26.25" customHeight="1" x14ac:dyDescent="0.2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26.25" customHeight="1" x14ac:dyDescent="0.2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26.25" customHeight="1" x14ac:dyDescent="0.2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26.25" customHeight="1" x14ac:dyDescent="0.2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26.25" customHeight="1" x14ac:dyDescent="0.2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26.25" customHeight="1" x14ac:dyDescent="0.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26.25" customHeight="1" x14ac:dyDescent="0.2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26.25" customHeight="1" x14ac:dyDescent="0.2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26.25" customHeight="1" x14ac:dyDescent="0.2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26.25" customHeight="1" x14ac:dyDescent="0.2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26.25" customHeight="1" x14ac:dyDescent="0.2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26.25" customHeight="1" x14ac:dyDescent="0.2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26.25" customHeight="1" x14ac:dyDescent="0.2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26.25" customHeight="1" x14ac:dyDescent="0.2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26.25" customHeight="1" x14ac:dyDescent="0.2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26.25" customHeight="1" x14ac:dyDescent="0.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26.25" customHeight="1" x14ac:dyDescent="0.2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26.25" customHeight="1" x14ac:dyDescent="0.2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26.25" customHeight="1" x14ac:dyDescent="0.2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26.25" customHeight="1" x14ac:dyDescent="0.2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26.25" customHeight="1" x14ac:dyDescent="0.2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26.25" customHeight="1" x14ac:dyDescent="0.2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26.25" customHeight="1" x14ac:dyDescent="0.2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26.25" customHeight="1" x14ac:dyDescent="0.2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26.25" customHeight="1" x14ac:dyDescent="0.2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26.25" customHeight="1" x14ac:dyDescent="0.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26.25" customHeight="1" x14ac:dyDescent="0.2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26.25" customHeight="1" x14ac:dyDescent="0.2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26.25" customHeight="1" x14ac:dyDescent="0.2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26.25" customHeight="1" x14ac:dyDescent="0.2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26.25" customHeight="1" x14ac:dyDescent="0.2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26.25" customHeight="1" x14ac:dyDescent="0.2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26.25" customHeight="1" x14ac:dyDescent="0.2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26.25" customHeight="1" x14ac:dyDescent="0.2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26.25" customHeight="1" x14ac:dyDescent="0.2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26.25" customHeight="1" x14ac:dyDescent="0.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26.25" customHeight="1" x14ac:dyDescent="0.2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26.25" customHeight="1" x14ac:dyDescent="0.2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26.25" customHeight="1" x14ac:dyDescent="0.2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26.25" customHeight="1" x14ac:dyDescent="0.2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26.25" customHeight="1" x14ac:dyDescent="0.2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26.25" customHeight="1" x14ac:dyDescent="0.2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26.25" customHeight="1" x14ac:dyDescent="0.2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26.25" customHeight="1" x14ac:dyDescent="0.2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26.25" customHeight="1" x14ac:dyDescent="0.2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26.25" customHeight="1" x14ac:dyDescent="0.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26.25" customHeight="1" x14ac:dyDescent="0.2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26.25" customHeight="1" x14ac:dyDescent="0.2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26.25" customHeight="1" x14ac:dyDescent="0.2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26.25" customHeight="1" x14ac:dyDescent="0.2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26.25" customHeight="1" x14ac:dyDescent="0.2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26.25" customHeight="1" x14ac:dyDescent="0.2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26.25" customHeight="1" x14ac:dyDescent="0.2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26.25" customHeight="1" x14ac:dyDescent="0.2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26.25" customHeight="1" x14ac:dyDescent="0.2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26.25" customHeight="1" x14ac:dyDescent="0.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26.25" customHeight="1" x14ac:dyDescent="0.2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26.25" customHeight="1" x14ac:dyDescent="0.2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26.25" customHeight="1" x14ac:dyDescent="0.2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26.25" customHeight="1" x14ac:dyDescent="0.2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26.25" customHeight="1" x14ac:dyDescent="0.2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26.25" customHeight="1" x14ac:dyDescent="0.2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26.25" customHeight="1" x14ac:dyDescent="0.2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26.25" customHeight="1" x14ac:dyDescent="0.2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26.25" customHeight="1" x14ac:dyDescent="0.2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26.25" customHeight="1" x14ac:dyDescent="0.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26.25" customHeight="1" x14ac:dyDescent="0.2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26.25" customHeight="1" x14ac:dyDescent="0.2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26.25" customHeight="1" x14ac:dyDescent="0.2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26.25" customHeight="1" x14ac:dyDescent="0.2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26.25" customHeight="1" x14ac:dyDescent="0.2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26.25" customHeight="1" x14ac:dyDescent="0.2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26.25" customHeight="1" x14ac:dyDescent="0.2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26.25" customHeight="1" x14ac:dyDescent="0.2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26.25" customHeight="1" x14ac:dyDescent="0.2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26.25" customHeight="1" x14ac:dyDescent="0.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26.25" customHeight="1" x14ac:dyDescent="0.2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26.25" customHeight="1" x14ac:dyDescent="0.2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26.25" customHeight="1" x14ac:dyDescent="0.2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26.25" customHeight="1" x14ac:dyDescent="0.2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26.25" customHeight="1" x14ac:dyDescent="0.2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26.25" customHeight="1" x14ac:dyDescent="0.2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26.25" customHeight="1" x14ac:dyDescent="0.2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26.25" customHeight="1" x14ac:dyDescent="0.2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26.25" customHeight="1" x14ac:dyDescent="0.2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26.25" customHeight="1" x14ac:dyDescent="0.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26.25" customHeight="1" x14ac:dyDescent="0.2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26.25" customHeight="1" x14ac:dyDescent="0.2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26.25" customHeight="1" x14ac:dyDescent="0.2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26.25" customHeight="1" x14ac:dyDescent="0.2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26.25" customHeight="1" x14ac:dyDescent="0.2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26.25" customHeight="1" x14ac:dyDescent="0.2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26.25" customHeight="1" x14ac:dyDescent="0.2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26.25" customHeight="1" x14ac:dyDescent="0.2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26.25" customHeight="1" x14ac:dyDescent="0.2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26.25" customHeight="1" x14ac:dyDescent="0.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26.25" customHeight="1" x14ac:dyDescent="0.2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26.25" customHeight="1" x14ac:dyDescent="0.2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26.25" customHeight="1" x14ac:dyDescent="0.2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26.25" customHeight="1" x14ac:dyDescent="0.2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26.25" customHeight="1" x14ac:dyDescent="0.2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26.25" customHeight="1" x14ac:dyDescent="0.2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26.25" customHeight="1" x14ac:dyDescent="0.2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26.25" customHeight="1" x14ac:dyDescent="0.2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26.25" customHeight="1" x14ac:dyDescent="0.2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26.25" customHeight="1" x14ac:dyDescent="0.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26.25" customHeight="1" x14ac:dyDescent="0.2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26.25" customHeight="1" x14ac:dyDescent="0.2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26.25" customHeight="1" x14ac:dyDescent="0.2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26.25" customHeight="1" x14ac:dyDescent="0.2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26.25" customHeight="1" x14ac:dyDescent="0.2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26.25" customHeight="1" x14ac:dyDescent="0.2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26.25" customHeight="1" x14ac:dyDescent="0.2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26.25" customHeight="1" x14ac:dyDescent="0.2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26.25" customHeight="1" x14ac:dyDescent="0.2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26.25" customHeight="1" x14ac:dyDescent="0.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26.25" customHeight="1" x14ac:dyDescent="0.2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26.25" customHeight="1" x14ac:dyDescent="0.2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26.25" customHeight="1" x14ac:dyDescent="0.2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26.25" customHeight="1" x14ac:dyDescent="0.2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26.25" customHeight="1" x14ac:dyDescent="0.2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26.25" customHeight="1" x14ac:dyDescent="0.2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26.25" customHeight="1" x14ac:dyDescent="0.2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26.25" customHeight="1" x14ac:dyDescent="0.2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26.25" customHeight="1" x14ac:dyDescent="0.2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26.25" customHeight="1" x14ac:dyDescent="0.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26.25" customHeight="1" x14ac:dyDescent="0.2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26.25" customHeight="1" x14ac:dyDescent="0.2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26.25" customHeight="1" x14ac:dyDescent="0.2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26.25" customHeight="1" x14ac:dyDescent="0.2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26.25" customHeight="1" x14ac:dyDescent="0.2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26.25" customHeight="1" x14ac:dyDescent="0.2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26.25" customHeight="1" x14ac:dyDescent="0.2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26.25" customHeight="1" x14ac:dyDescent="0.2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26.25" customHeight="1" x14ac:dyDescent="0.2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26.25" customHeight="1" x14ac:dyDescent="0.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26.25" customHeight="1" x14ac:dyDescent="0.2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26.25" customHeight="1" x14ac:dyDescent="0.2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26.25" customHeight="1" x14ac:dyDescent="0.2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26.25" customHeight="1" x14ac:dyDescent="0.2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26.25" customHeight="1" x14ac:dyDescent="0.2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26.25" customHeight="1" x14ac:dyDescent="0.2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26.25" customHeight="1" x14ac:dyDescent="0.2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26.25" customHeight="1" x14ac:dyDescent="0.2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26.25" customHeight="1" x14ac:dyDescent="0.2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26.25" customHeight="1" x14ac:dyDescent="0.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26.25" customHeight="1" x14ac:dyDescent="0.2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26.25" customHeight="1" x14ac:dyDescent="0.2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26.25" customHeight="1" x14ac:dyDescent="0.2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26.25" customHeight="1" x14ac:dyDescent="0.2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26.25" customHeight="1" x14ac:dyDescent="0.2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26.25" customHeight="1" x14ac:dyDescent="0.2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26.25" customHeight="1" x14ac:dyDescent="0.2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26.25" customHeight="1" x14ac:dyDescent="0.2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26.25" customHeight="1" x14ac:dyDescent="0.2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26.25" customHeight="1" x14ac:dyDescent="0.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26.25" customHeight="1" x14ac:dyDescent="0.2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26.25" customHeight="1" x14ac:dyDescent="0.2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26.25" customHeight="1" x14ac:dyDescent="0.2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26.25" customHeight="1" x14ac:dyDescent="0.2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26.25" customHeight="1" x14ac:dyDescent="0.2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26.25" customHeight="1" x14ac:dyDescent="0.2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26.25" customHeight="1" x14ac:dyDescent="0.2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26.25" customHeight="1" x14ac:dyDescent="0.2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26.25" customHeight="1" x14ac:dyDescent="0.2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26.25" customHeight="1" x14ac:dyDescent="0.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26.25" customHeight="1" x14ac:dyDescent="0.2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26.25" customHeight="1" x14ac:dyDescent="0.2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26.25" customHeight="1" x14ac:dyDescent="0.2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26.25" customHeight="1" x14ac:dyDescent="0.2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26.25" customHeight="1" x14ac:dyDescent="0.2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26.25" customHeight="1" x14ac:dyDescent="0.2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26.25" customHeight="1" x14ac:dyDescent="0.2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26.25" customHeight="1" x14ac:dyDescent="0.2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26.25" customHeight="1" x14ac:dyDescent="0.2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26.25" customHeight="1" x14ac:dyDescent="0.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26.25" customHeight="1" x14ac:dyDescent="0.2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26.25" customHeight="1" x14ac:dyDescent="0.2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26.25" customHeight="1" x14ac:dyDescent="0.2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26.25" customHeight="1" x14ac:dyDescent="0.2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26.25" customHeight="1" x14ac:dyDescent="0.2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26.25" customHeight="1" x14ac:dyDescent="0.2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26.25" customHeight="1" x14ac:dyDescent="0.2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26.25" customHeight="1" x14ac:dyDescent="0.2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26.25" customHeight="1" x14ac:dyDescent="0.2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26.25" customHeight="1" x14ac:dyDescent="0.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26.25" customHeight="1" x14ac:dyDescent="0.2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26.25" customHeight="1" x14ac:dyDescent="0.2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26.25" customHeight="1" x14ac:dyDescent="0.2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26.25" customHeight="1" x14ac:dyDescent="0.2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26.25" customHeight="1" x14ac:dyDescent="0.2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26.25" customHeight="1" x14ac:dyDescent="0.2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26.25" customHeight="1" x14ac:dyDescent="0.2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26.25" customHeight="1" x14ac:dyDescent="0.2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26.25" customHeight="1" x14ac:dyDescent="0.2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26.25" customHeight="1" x14ac:dyDescent="0.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26.25" customHeight="1" x14ac:dyDescent="0.2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26.25" customHeight="1" x14ac:dyDescent="0.2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26.25" customHeight="1" x14ac:dyDescent="0.2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26.25" customHeight="1" x14ac:dyDescent="0.2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26.25" customHeight="1" x14ac:dyDescent="0.2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26.25" customHeight="1" x14ac:dyDescent="0.2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26.25" customHeight="1" x14ac:dyDescent="0.2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26.25" customHeight="1" x14ac:dyDescent="0.2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26.25" customHeight="1" x14ac:dyDescent="0.2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26.25" customHeight="1" x14ac:dyDescent="0.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26.25" customHeight="1" x14ac:dyDescent="0.2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26.25" customHeight="1" x14ac:dyDescent="0.2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26.25" customHeight="1" x14ac:dyDescent="0.2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26.25" customHeight="1" x14ac:dyDescent="0.2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26.25" customHeight="1" x14ac:dyDescent="0.2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26.25" customHeight="1" x14ac:dyDescent="0.2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26.25" customHeight="1" x14ac:dyDescent="0.2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26.25" customHeight="1" x14ac:dyDescent="0.2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26.25" customHeight="1" x14ac:dyDescent="0.2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26.25" customHeight="1" x14ac:dyDescent="0.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26.25" customHeight="1" x14ac:dyDescent="0.2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26.25" customHeight="1" x14ac:dyDescent="0.2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26.25" customHeight="1" x14ac:dyDescent="0.2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26.25" customHeight="1" x14ac:dyDescent="0.2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26.25" customHeight="1" x14ac:dyDescent="0.2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26.25" customHeight="1" x14ac:dyDescent="0.2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26.25" customHeight="1" x14ac:dyDescent="0.2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26.25" customHeight="1" x14ac:dyDescent="0.2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26.25" customHeight="1" x14ac:dyDescent="0.2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26.25" customHeight="1" x14ac:dyDescent="0.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26.25" customHeight="1" x14ac:dyDescent="0.2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26.25" customHeight="1" x14ac:dyDescent="0.2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26.25" customHeight="1" x14ac:dyDescent="0.2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26.25" customHeight="1" x14ac:dyDescent="0.2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26.25" customHeight="1" x14ac:dyDescent="0.2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26.25" customHeight="1" x14ac:dyDescent="0.2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26.25" customHeight="1" x14ac:dyDescent="0.2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26.25" customHeight="1" x14ac:dyDescent="0.2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26.25" customHeight="1" x14ac:dyDescent="0.2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26.25" customHeight="1" x14ac:dyDescent="0.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26.25" customHeight="1" x14ac:dyDescent="0.2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26.25" customHeight="1" x14ac:dyDescent="0.2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26.25" customHeight="1" x14ac:dyDescent="0.2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26.25" customHeight="1" x14ac:dyDescent="0.2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26.25" customHeight="1" x14ac:dyDescent="0.2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26.25" customHeight="1" x14ac:dyDescent="0.2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26.25" customHeight="1" x14ac:dyDescent="0.2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26.25" customHeight="1" x14ac:dyDescent="0.2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26.25" customHeight="1" x14ac:dyDescent="0.2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26.25" customHeight="1" x14ac:dyDescent="0.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26.25" customHeight="1" x14ac:dyDescent="0.2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26.25" customHeight="1" x14ac:dyDescent="0.2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26.25" customHeight="1" x14ac:dyDescent="0.2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26.25" customHeight="1" x14ac:dyDescent="0.2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26.25" customHeight="1" x14ac:dyDescent="0.2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26.25" customHeight="1" x14ac:dyDescent="0.2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26.25" customHeight="1" x14ac:dyDescent="0.2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26.25" customHeight="1" x14ac:dyDescent="0.2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26.25" customHeight="1" x14ac:dyDescent="0.2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26.25" customHeight="1" x14ac:dyDescent="0.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26.25" customHeight="1" x14ac:dyDescent="0.2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26.25" customHeight="1" x14ac:dyDescent="0.2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26.25" customHeight="1" x14ac:dyDescent="0.2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26.25" customHeight="1" x14ac:dyDescent="0.2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26.25" customHeight="1" x14ac:dyDescent="0.2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26.25" customHeight="1" x14ac:dyDescent="0.2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26.25" customHeight="1" x14ac:dyDescent="0.2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26.25" customHeight="1" x14ac:dyDescent="0.2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26.25" customHeight="1" x14ac:dyDescent="0.2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26.25" customHeight="1" x14ac:dyDescent="0.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26.25" customHeight="1" x14ac:dyDescent="0.2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26.25" customHeight="1" x14ac:dyDescent="0.2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26.25" customHeight="1" x14ac:dyDescent="0.2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26.25" customHeight="1" x14ac:dyDescent="0.2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26.25" customHeight="1" x14ac:dyDescent="0.2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26.25" customHeight="1" x14ac:dyDescent="0.2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26.25" customHeight="1" x14ac:dyDescent="0.2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26.25" customHeight="1" x14ac:dyDescent="0.2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26.25" customHeight="1" x14ac:dyDescent="0.2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26.25" customHeight="1" x14ac:dyDescent="0.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26.25" customHeight="1" x14ac:dyDescent="0.2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26.25" customHeight="1" x14ac:dyDescent="0.2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26.25" customHeight="1" x14ac:dyDescent="0.2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26.25" customHeight="1" x14ac:dyDescent="0.2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26.25" customHeight="1" x14ac:dyDescent="0.2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26.25" customHeight="1" x14ac:dyDescent="0.2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26.25" customHeight="1" x14ac:dyDescent="0.2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26.25" customHeight="1" x14ac:dyDescent="0.2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26.25" customHeight="1" x14ac:dyDescent="0.2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26.25" customHeight="1" x14ac:dyDescent="0.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26.25" customHeight="1" x14ac:dyDescent="0.2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26.25" customHeight="1" x14ac:dyDescent="0.2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26.25" customHeight="1" x14ac:dyDescent="0.2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26.25" customHeight="1" x14ac:dyDescent="0.2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26.25" customHeight="1" x14ac:dyDescent="0.2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26.25" customHeight="1" x14ac:dyDescent="0.2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26.25" customHeight="1" x14ac:dyDescent="0.2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26.25" customHeight="1" x14ac:dyDescent="0.2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26.25" customHeight="1" x14ac:dyDescent="0.2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26.25" customHeight="1" x14ac:dyDescent="0.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26.25" customHeight="1" x14ac:dyDescent="0.2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26.25" customHeight="1" x14ac:dyDescent="0.2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26.25" customHeight="1" x14ac:dyDescent="0.2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26.25" customHeight="1" x14ac:dyDescent="0.2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26.25" customHeight="1" x14ac:dyDescent="0.2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26.25" customHeight="1" x14ac:dyDescent="0.2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26.25" customHeight="1" x14ac:dyDescent="0.2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26.25" customHeight="1" x14ac:dyDescent="0.2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26.25" customHeight="1" x14ac:dyDescent="0.2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26.25" customHeight="1" x14ac:dyDescent="0.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26.25" customHeight="1" x14ac:dyDescent="0.2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26.25" customHeight="1" x14ac:dyDescent="0.2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26.25" customHeight="1" x14ac:dyDescent="0.2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26.25" customHeight="1" x14ac:dyDescent="0.2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26.25" customHeight="1" x14ac:dyDescent="0.2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26.25" customHeight="1" x14ac:dyDescent="0.2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26.25" customHeight="1" x14ac:dyDescent="0.2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26.25" customHeight="1" x14ac:dyDescent="0.2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26.25" customHeight="1" x14ac:dyDescent="0.2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26.25" customHeight="1" x14ac:dyDescent="0.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26.25" customHeight="1" x14ac:dyDescent="0.2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26.25" customHeight="1" x14ac:dyDescent="0.2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26.25" customHeight="1" x14ac:dyDescent="0.2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26.25" customHeight="1" x14ac:dyDescent="0.2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26.25" customHeight="1" x14ac:dyDescent="0.2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26.25" customHeight="1" x14ac:dyDescent="0.2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26.25" customHeight="1" x14ac:dyDescent="0.2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26.25" customHeight="1" x14ac:dyDescent="0.2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26.25" customHeight="1" x14ac:dyDescent="0.2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26.25" customHeight="1" x14ac:dyDescent="0.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26.25" customHeight="1" x14ac:dyDescent="0.2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26.25" customHeight="1" x14ac:dyDescent="0.2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26.25" customHeight="1" x14ac:dyDescent="0.2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26.25" customHeight="1" x14ac:dyDescent="0.2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26.25" customHeight="1" x14ac:dyDescent="0.2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26.25" customHeight="1" x14ac:dyDescent="0.2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26.25" customHeight="1" x14ac:dyDescent="0.2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26.25" customHeight="1" x14ac:dyDescent="0.2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26.25" customHeight="1" x14ac:dyDescent="0.2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26.25" customHeight="1" x14ac:dyDescent="0.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26.25" customHeight="1" x14ac:dyDescent="0.2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26.25" customHeight="1" x14ac:dyDescent="0.2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26.25" customHeight="1" x14ac:dyDescent="0.2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26.25" customHeight="1" x14ac:dyDescent="0.2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26.25" customHeight="1" x14ac:dyDescent="0.2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26.25" customHeight="1" x14ac:dyDescent="0.2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26.25" customHeight="1" x14ac:dyDescent="0.2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26.25" customHeight="1" x14ac:dyDescent="0.2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26.25" customHeight="1" x14ac:dyDescent="0.2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26.25" customHeight="1" x14ac:dyDescent="0.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26.25" customHeight="1" x14ac:dyDescent="0.2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26.25" customHeight="1" x14ac:dyDescent="0.2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26.25" customHeight="1" x14ac:dyDescent="0.2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26.25" customHeight="1" x14ac:dyDescent="0.2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26.25" customHeight="1" x14ac:dyDescent="0.2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26.25" customHeight="1" x14ac:dyDescent="0.2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26.25" customHeight="1" x14ac:dyDescent="0.2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26.25" customHeight="1" x14ac:dyDescent="0.2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26.25" customHeight="1" x14ac:dyDescent="0.2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26.25" customHeight="1" x14ac:dyDescent="0.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26.25" customHeight="1" x14ac:dyDescent="0.2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26.25" customHeight="1" x14ac:dyDescent="0.2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26.25" customHeight="1" x14ac:dyDescent="0.2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26.25" customHeight="1" x14ac:dyDescent="0.2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26.25" customHeight="1" x14ac:dyDescent="0.2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26.25" customHeight="1" x14ac:dyDescent="0.2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26.25" customHeight="1" x14ac:dyDescent="0.2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26.25" customHeight="1" x14ac:dyDescent="0.2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26.25" customHeight="1" x14ac:dyDescent="0.2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26.25" customHeight="1" x14ac:dyDescent="0.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26.25" customHeight="1" x14ac:dyDescent="0.2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26.25" customHeight="1" x14ac:dyDescent="0.2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26.25" customHeight="1" x14ac:dyDescent="0.2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26.25" customHeight="1" x14ac:dyDescent="0.2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26.25" customHeight="1" x14ac:dyDescent="0.2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26.25" customHeight="1" x14ac:dyDescent="0.2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26.25" customHeight="1" x14ac:dyDescent="0.2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26.25" customHeight="1" x14ac:dyDescent="0.2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26.25" customHeight="1" x14ac:dyDescent="0.2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26.25" customHeight="1" x14ac:dyDescent="0.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26.25" customHeight="1" x14ac:dyDescent="0.2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26.25" customHeight="1" x14ac:dyDescent="0.2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26.25" customHeight="1" x14ac:dyDescent="0.2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26.25" customHeight="1" x14ac:dyDescent="0.2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26.25" customHeight="1" x14ac:dyDescent="0.2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26.25" customHeight="1" x14ac:dyDescent="0.2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26.25" customHeight="1" x14ac:dyDescent="0.2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26.25" customHeight="1" x14ac:dyDescent="0.2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26.25" customHeight="1" x14ac:dyDescent="0.2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26.25" customHeight="1" x14ac:dyDescent="0.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26.25" customHeight="1" x14ac:dyDescent="0.2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26.25" customHeight="1" x14ac:dyDescent="0.2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26.25" customHeight="1" x14ac:dyDescent="0.2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26.25" customHeight="1" x14ac:dyDescent="0.2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26.25" customHeight="1" x14ac:dyDescent="0.2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26.25" customHeight="1" x14ac:dyDescent="0.2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26.25" customHeight="1" x14ac:dyDescent="0.2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26.25" customHeight="1" x14ac:dyDescent="0.2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26.25" customHeight="1" x14ac:dyDescent="0.2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26.25" customHeight="1" x14ac:dyDescent="0.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26.25" customHeight="1" x14ac:dyDescent="0.2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26.25" customHeight="1" x14ac:dyDescent="0.2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26.25" customHeight="1" x14ac:dyDescent="0.2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26.25" customHeight="1" x14ac:dyDescent="0.2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26.25" customHeight="1" x14ac:dyDescent="0.2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26.25" customHeight="1" x14ac:dyDescent="0.2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26.25" customHeight="1" x14ac:dyDescent="0.2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26.25" customHeight="1" x14ac:dyDescent="0.2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26.25" customHeight="1" x14ac:dyDescent="0.2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26.25" customHeight="1" x14ac:dyDescent="0.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26.25" customHeight="1" x14ac:dyDescent="0.2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26.25" customHeight="1" x14ac:dyDescent="0.2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26.25" customHeight="1" x14ac:dyDescent="0.2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26.25" customHeight="1" x14ac:dyDescent="0.2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26.25" customHeight="1" x14ac:dyDescent="0.2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26.25" customHeight="1" x14ac:dyDescent="0.2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26.25" customHeight="1" x14ac:dyDescent="0.2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26.25" customHeight="1" x14ac:dyDescent="0.2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26.25" customHeight="1" x14ac:dyDescent="0.2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26.25" customHeight="1" x14ac:dyDescent="0.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26.25" customHeight="1" x14ac:dyDescent="0.2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26.25" customHeight="1" x14ac:dyDescent="0.2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26.25" customHeight="1" x14ac:dyDescent="0.2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26.25" customHeight="1" x14ac:dyDescent="0.2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26.25" customHeight="1" x14ac:dyDescent="0.2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26.25" customHeight="1" x14ac:dyDescent="0.2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26.25" customHeight="1" x14ac:dyDescent="0.2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26.25" customHeight="1" x14ac:dyDescent="0.2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26.25" customHeight="1" x14ac:dyDescent="0.2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26.25" customHeight="1" x14ac:dyDescent="0.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26.25" customHeight="1" x14ac:dyDescent="0.2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26.25" customHeight="1" x14ac:dyDescent="0.2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26.25" customHeight="1" x14ac:dyDescent="0.2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26.25" customHeight="1" x14ac:dyDescent="0.2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26.25" customHeight="1" x14ac:dyDescent="0.2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26.25" customHeight="1" x14ac:dyDescent="0.2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26.25" customHeight="1" x14ac:dyDescent="0.2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26.25" customHeight="1" x14ac:dyDescent="0.2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26.25" customHeight="1" x14ac:dyDescent="0.2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26.25" customHeight="1" x14ac:dyDescent="0.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26.25" customHeight="1" x14ac:dyDescent="0.2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26.25" customHeight="1" x14ac:dyDescent="0.2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26.25" customHeight="1" x14ac:dyDescent="0.2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26.25" customHeight="1" x14ac:dyDescent="0.2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26.25" customHeight="1" x14ac:dyDescent="0.2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26.25" customHeight="1" x14ac:dyDescent="0.2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26.25" customHeight="1" x14ac:dyDescent="0.2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26.25" customHeight="1" x14ac:dyDescent="0.2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:26" ht="26.25" customHeight="1" x14ac:dyDescent="0.2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</sheetData>
  <mergeCells count="2"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 Event Management Budget</vt:lpstr>
      <vt:lpstr>!Helper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icob</cp:lastModifiedBy>
  <dcterms:modified xsi:type="dcterms:W3CDTF">2024-01-04T09:22:36Z</dcterms:modified>
</cp:coreProperties>
</file>
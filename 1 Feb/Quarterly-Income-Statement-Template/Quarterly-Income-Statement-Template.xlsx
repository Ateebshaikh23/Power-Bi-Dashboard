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C:\Users\chris\Downloads\Excel Files\"/>
    </mc:Choice>
  </mc:AlternateContent>
  <xr:revisionPtr revIDLastSave="0" documentId="13_ncr:1_{B2065242-82E6-4EFE-9B3E-ECC8190784C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Quarterly Income Statement" sheetId="1" r:id="rId1"/>
    <sheet name="Helper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 a="1"/>
  <c r="L8" i="2" s="1"/>
  <c r="B3" i="2" a="1"/>
  <c r="E8" i="2" s="1"/>
  <c r="I2" i="2" a="1"/>
  <c r="L2" i="2" s="1"/>
  <c r="D2" i="2"/>
  <c r="C2" i="2" a="1"/>
  <c r="F2" i="2" s="1"/>
  <c r="K58" i="1"/>
  <c r="J58" i="1"/>
  <c r="I58" i="1"/>
  <c r="H58" i="1"/>
  <c r="L57" i="1"/>
  <c r="L56" i="1"/>
  <c r="L55" i="1"/>
  <c r="L54" i="1"/>
  <c r="L53" i="1"/>
  <c r="L58" i="1" s="1"/>
  <c r="F47" i="1"/>
  <c r="E47" i="1"/>
  <c r="D47" i="1"/>
  <c r="C47" i="1"/>
  <c r="G46" i="1"/>
  <c r="G45" i="1"/>
  <c r="G44" i="1"/>
  <c r="G43" i="1"/>
  <c r="G42" i="1"/>
  <c r="G41" i="1"/>
  <c r="G40" i="1"/>
  <c r="G39" i="1"/>
  <c r="G38" i="1"/>
  <c r="G37" i="1"/>
  <c r="G36" i="1"/>
  <c r="G47" i="1" s="1"/>
  <c r="K30" i="1"/>
  <c r="J30" i="1"/>
  <c r="I30" i="1"/>
  <c r="H30" i="1"/>
  <c r="L29" i="1"/>
  <c r="L28" i="1"/>
  <c r="L27" i="1"/>
  <c r="L26" i="1"/>
  <c r="L30" i="1" s="1"/>
  <c r="L25" i="1"/>
  <c r="L24" i="1"/>
  <c r="F18" i="1"/>
  <c r="E18" i="1"/>
  <c r="D18" i="1"/>
  <c r="C18" i="1"/>
  <c r="G17" i="1"/>
  <c r="G16" i="1"/>
  <c r="G15" i="1"/>
  <c r="G14" i="1"/>
  <c r="G13" i="1"/>
  <c r="G18" i="1" s="1"/>
  <c r="G12" i="1"/>
  <c r="G3" i="1" l="1"/>
  <c r="I3" i="1" s="1"/>
  <c r="K3" i="1" s="1"/>
  <c r="L3" i="2"/>
  <c r="K4" i="2"/>
  <c r="J5" i="2"/>
  <c r="I6" i="2"/>
  <c r="H7" i="2"/>
  <c r="L7" i="2"/>
  <c r="K8" i="2"/>
  <c r="E2" i="2"/>
  <c r="J2" i="2"/>
  <c r="C2" i="2"/>
  <c r="K2" i="2"/>
  <c r="C3" i="2"/>
  <c r="B4" i="2"/>
  <c r="F4" i="2"/>
  <c r="E5" i="2"/>
  <c r="D6" i="2"/>
  <c r="C7" i="2"/>
  <c r="B8" i="2"/>
  <c r="F8" i="2"/>
  <c r="J3" i="2"/>
  <c r="I4" i="2"/>
  <c r="H5" i="2"/>
  <c r="L5" i="2"/>
  <c r="K6" i="2"/>
  <c r="J7" i="2"/>
  <c r="I8" i="2"/>
  <c r="I2" i="2"/>
  <c r="D3" i="2"/>
  <c r="C4" i="2"/>
  <c r="B5" i="2"/>
  <c r="F5" i="2"/>
  <c r="E6" i="2"/>
  <c r="D7" i="2"/>
  <c r="C8" i="2"/>
  <c r="H3" i="2"/>
  <c r="K3" i="2"/>
  <c r="J4" i="2"/>
  <c r="I5" i="2"/>
  <c r="H6" i="2"/>
  <c r="L6" i="2"/>
  <c r="K7" i="2"/>
  <c r="J8" i="2"/>
  <c r="B3" i="2"/>
  <c r="E3" i="2"/>
  <c r="D4" i="2"/>
  <c r="C5" i="2"/>
  <c r="B6" i="2"/>
  <c r="F6" i="2"/>
  <c r="E7" i="2"/>
  <c r="D8" i="2"/>
  <c r="F3" i="2"/>
  <c r="E4" i="2"/>
  <c r="D5" i="2"/>
  <c r="C6" i="2"/>
  <c r="B7" i="2"/>
  <c r="F7" i="2"/>
  <c r="I3" i="2"/>
  <c r="H4" i="2"/>
  <c r="L4" i="2"/>
  <c r="K5" i="2"/>
  <c r="J6" i="2"/>
  <c r="I7" i="2"/>
  <c r="H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1" authorId="0" shapeId="0" xr:uid="{00000000-0006-0000-0000-000001000000}">
      <text>
        <r>
          <rPr>
            <sz val="10"/>
            <color rgb="FF000000"/>
            <rFont val="Arial"/>
            <scheme val="minor"/>
          </rPr>
          <t>AUTOFORMULATED IN ORDER TO GET THE SUM</t>
        </r>
      </text>
    </comment>
    <comment ref="B18" authorId="0" shapeId="0" xr:uid="{00000000-0006-0000-0000-000002000000}">
      <text>
        <r>
          <rPr>
            <sz val="10"/>
            <color rgb="FF000000"/>
            <rFont val="Arial"/>
            <scheme val="minor"/>
          </rPr>
          <t>AUTOFORMULATED IN ORDER TO GET THE SUM</t>
        </r>
      </text>
    </comment>
    <comment ref="L23" authorId="0" shapeId="0" xr:uid="{00000000-0006-0000-0000-000003000000}">
      <text>
        <r>
          <rPr>
            <sz val="10"/>
            <color rgb="FF000000"/>
            <rFont val="Arial"/>
            <scheme val="minor"/>
          </rPr>
          <t>AUTOFORMULATED IN ORDER TO GET THE SUM</t>
        </r>
      </text>
    </comment>
    <comment ref="G30" authorId="0" shapeId="0" xr:uid="{00000000-0006-0000-0000-000004000000}">
      <text>
        <r>
          <rPr>
            <sz val="10"/>
            <color rgb="FF000000"/>
            <rFont val="Arial"/>
            <scheme val="minor"/>
          </rPr>
          <t>AUTOFORMULATED IN ORDER TO GET THE SUM</t>
        </r>
      </text>
    </comment>
    <comment ref="G35" authorId="0" shapeId="0" xr:uid="{00000000-0006-0000-0000-000005000000}">
      <text>
        <r>
          <rPr>
            <sz val="10"/>
            <color rgb="FF000000"/>
            <rFont val="Arial"/>
            <scheme val="minor"/>
          </rPr>
          <t>AUTOFORMULATED IN ORDER TO GET THE SUM</t>
        </r>
      </text>
    </comment>
    <comment ref="B47" authorId="0" shapeId="0" xr:uid="{00000000-0006-0000-0000-000006000000}">
      <text>
        <r>
          <rPr>
            <sz val="10"/>
            <color rgb="FF000000"/>
            <rFont val="Arial"/>
            <scheme val="minor"/>
          </rPr>
          <t>AUTOFORMULATED IN ORDER TO GET THE SUM</t>
        </r>
      </text>
    </comment>
    <comment ref="L52" authorId="0" shapeId="0" xr:uid="{00000000-0006-0000-0000-000007000000}">
      <text>
        <r>
          <rPr>
            <sz val="10"/>
            <color rgb="FF000000"/>
            <rFont val="Arial"/>
            <scheme val="minor"/>
          </rPr>
          <t>AUTOFORMULATED IN ORDER TO GET THE SUM</t>
        </r>
      </text>
    </comment>
    <comment ref="G58" authorId="0" shapeId="0" xr:uid="{00000000-0006-0000-0000-000008000000}">
      <text>
        <r>
          <rPr>
            <sz val="10"/>
            <color rgb="FF000000"/>
            <rFont val="Arial"/>
            <scheme val="minor"/>
          </rPr>
          <t xml:space="preserve">AUTOFORMULATED IN ORDER TO GET THE SUM
</t>
        </r>
      </text>
    </comment>
  </commentList>
</comments>
</file>

<file path=xl/sharedStrings.xml><?xml version="1.0" encoding="utf-8"?>
<sst xmlns="http://schemas.openxmlformats.org/spreadsheetml/2006/main" count="55" uniqueCount="34">
  <si>
    <t>QUARTERLY INCOME STATEMENT</t>
  </si>
  <si>
    <t>GROSS PROFIT</t>
  </si>
  <si>
    <t>NET OPERATING INCOME</t>
  </si>
  <si>
    <t>NET INCOME</t>
  </si>
  <si>
    <t>INCOME</t>
  </si>
  <si>
    <t>Description</t>
  </si>
  <si>
    <t>Jan-Mar</t>
  </si>
  <si>
    <t>Apr-Jun</t>
  </si>
  <si>
    <t>Jul-Sep</t>
  </si>
  <si>
    <t>Oct-Dec</t>
  </si>
  <si>
    <t>Total</t>
  </si>
  <si>
    <t>Sales Revenue</t>
  </si>
  <si>
    <t>Service Revenue</t>
  </si>
  <si>
    <t>Other Income</t>
  </si>
  <si>
    <t>TOTAL</t>
  </si>
  <si>
    <t>COST OF GOODS SOLD (COGS)</t>
  </si>
  <si>
    <t>Materials and Supplies</t>
  </si>
  <si>
    <t>Labor Costs</t>
  </si>
  <si>
    <t>Other COGS</t>
  </si>
  <si>
    <t>OPERATING EXPENSES</t>
  </si>
  <si>
    <t>Rent and Lease</t>
  </si>
  <si>
    <t>Utilities</t>
  </si>
  <si>
    <t>Wages and Salaries</t>
  </si>
  <si>
    <t>Marketing Expenses</t>
  </si>
  <si>
    <t>Office Supplies</t>
  </si>
  <si>
    <t>Insurance</t>
  </si>
  <si>
    <t>Depreciation</t>
  </si>
  <si>
    <t>Other Operating Expenses</t>
  </si>
  <si>
    <t>QUARTERLY EXPENSE COMPARISON</t>
  </si>
  <si>
    <t>OTHER EXPENSES</t>
  </si>
  <si>
    <t>Interest Expenses</t>
  </si>
  <si>
    <t>Income Tax</t>
  </si>
  <si>
    <r>
      <rPr>
        <b/>
        <sz val="11"/>
        <color rgb="FF000000"/>
        <rFont val="Lato, Arial"/>
      </rPr>
      <t xml:space="preserve">CHOOSE &amp; DOWNLOAD MORE </t>
    </r>
    <r>
      <rPr>
        <b/>
        <u/>
        <sz val="11"/>
        <color rgb="FF1155CC"/>
        <rFont val="Lato, Arial"/>
      </rPr>
      <t>STATEMENT TEMPLATES</t>
    </r>
  </si>
  <si>
    <r>
      <rPr>
        <b/>
        <sz val="11"/>
        <color rgb="FF202124"/>
        <rFont val="Lato, Arial"/>
      </rPr>
      <t xml:space="preserve">© </t>
    </r>
    <r>
      <rPr>
        <b/>
        <u/>
        <sz val="11"/>
        <color rgb="FF1155CC"/>
        <rFont val="Lato, Arial"/>
      </rPr>
      <t>TEMPLATE.NET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</si>
</sst>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"/>
  </numFmts>
  <fonts count="21">
    <font>
      <sz val="10"/>
      <color rgb="FF000000"/>
      <name val="Arial"/>
      <scheme val="minor"/>
    </font>
    <font>
      <sz val="10"/>
      <color theme="1"/>
      <name val="Helvetica Neue"/>
    </font>
    <font>
      <b/>
      <sz val="10"/>
      <color rgb="FFFFFFFF"/>
      <name val="Helvetica Neue"/>
    </font>
    <font>
      <b/>
      <sz val="9"/>
      <color rgb="FFFFFFFF"/>
      <name val="Helvetica Neue"/>
    </font>
    <font>
      <sz val="10"/>
      <name val="Arial"/>
    </font>
    <font>
      <b/>
      <sz val="20"/>
      <color theme="1"/>
      <name val="Helvetica Neue"/>
    </font>
    <font>
      <b/>
      <sz val="12"/>
      <color rgb="FFFFFFFF"/>
      <name val="Helvetica Neue"/>
    </font>
    <font>
      <b/>
      <sz val="11"/>
      <color theme="1"/>
      <name val="Helvetica Neue"/>
    </font>
    <font>
      <sz val="10"/>
      <color rgb="FFFFFFFF"/>
      <name val="Helvetica Neue"/>
    </font>
    <font>
      <b/>
      <sz val="12"/>
      <color rgb="FF000000"/>
      <name val="Helvetica Neue"/>
    </font>
    <font>
      <b/>
      <sz val="10"/>
      <color theme="1"/>
      <name val="Helvetica Neue"/>
    </font>
    <font>
      <b/>
      <sz val="12"/>
      <color theme="1"/>
      <name val="Helvetica Neue"/>
    </font>
    <font>
      <b/>
      <u/>
      <sz val="11"/>
      <color rgb="FF0000FF"/>
      <name val="Lato"/>
    </font>
    <font>
      <b/>
      <u/>
      <sz val="11"/>
      <color rgb="FF202124"/>
      <name val="Lato"/>
    </font>
    <font>
      <sz val="10"/>
      <color theme="1"/>
      <name val="Arial"/>
      <scheme val="minor"/>
    </font>
    <font>
      <b/>
      <sz val="11"/>
      <color rgb="FF000000"/>
      <name val="Lato, Arial"/>
    </font>
    <font>
      <b/>
      <u/>
      <sz val="11"/>
      <color rgb="FF1155CC"/>
      <name val="Lato, Arial"/>
    </font>
    <font>
      <b/>
      <sz val="11"/>
      <color rgb="FF202124"/>
      <name val="Lato, Arial"/>
    </font>
    <font>
      <b/>
      <sz val="28"/>
      <color rgb="FF000000"/>
      <name val="Lexend"/>
    </font>
    <font>
      <sz val="28"/>
      <color rgb="FF000000"/>
      <name val="Arial"/>
      <family val="2"/>
      <scheme val="minor"/>
    </font>
    <font>
      <sz val="2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CDCDCD"/>
        <bgColor rgb="FFCDCDCD"/>
      </patternFill>
    </fill>
  </fills>
  <borders count="14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/>
      <right style="thick">
        <color rgb="FFFFFFFF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ck">
        <color rgb="FFCDCDCD"/>
      </bottom>
      <diagonal/>
    </border>
    <border>
      <left/>
      <right/>
      <top/>
      <bottom style="medium">
        <color rgb="FFCDCDCD"/>
      </bottom>
      <diagonal/>
    </border>
    <border>
      <left/>
      <right style="dotted">
        <color rgb="FFC0C0C0"/>
      </right>
      <top/>
      <bottom style="dotted">
        <color rgb="FFC0C0C0"/>
      </bottom>
      <diagonal/>
    </border>
    <border>
      <left style="dotted">
        <color rgb="FFC0C0C0"/>
      </left>
      <right style="dotted">
        <color rgb="FFC0C0C0"/>
      </right>
      <top/>
      <bottom style="dotted">
        <color rgb="FFC0C0C0"/>
      </bottom>
      <diagonal/>
    </border>
    <border>
      <left style="dotted">
        <color rgb="FFC0C0C0"/>
      </left>
      <right/>
      <top/>
      <bottom style="dotted">
        <color rgb="FFC0C0C0"/>
      </bottom>
      <diagonal/>
    </border>
    <border>
      <left/>
      <right style="dotted">
        <color rgb="FFC0C0C0"/>
      </right>
      <top style="dotted">
        <color rgb="FFC0C0C0"/>
      </top>
      <bottom style="dotted">
        <color rgb="FFC0C0C0"/>
      </bottom>
      <diagonal/>
    </border>
    <border>
      <left style="dotted">
        <color rgb="FFC0C0C0"/>
      </left>
      <right style="dotted">
        <color rgb="FFC0C0C0"/>
      </right>
      <top style="dotted">
        <color rgb="FFC0C0C0"/>
      </top>
      <bottom style="dotted">
        <color rgb="FFC0C0C0"/>
      </bottom>
      <diagonal/>
    </border>
    <border>
      <left/>
      <right style="dotted">
        <color rgb="FFC0C0C0"/>
      </right>
      <top style="dotted">
        <color rgb="FFC0C0C0"/>
      </top>
      <bottom/>
      <diagonal/>
    </border>
    <border>
      <left style="dotted">
        <color rgb="FFC0C0C0"/>
      </left>
      <right style="dotted">
        <color rgb="FFC0C0C0"/>
      </right>
      <top style="dotted">
        <color rgb="FFC0C0C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1" fillId="0" borderId="4" xfId="0" applyFont="1" applyBorder="1"/>
    <xf numFmtId="0" fontId="1" fillId="0" borderId="4" xfId="0" applyFont="1" applyBorder="1" applyAlignment="1">
      <alignment vertical="center"/>
    </xf>
    <xf numFmtId="0" fontId="1" fillId="0" borderId="0" xfId="0" applyFont="1"/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1" fillId="0" borderId="6" xfId="0" applyFont="1" applyBorder="1" applyAlignment="1">
      <alignment vertical="center"/>
    </xf>
    <xf numFmtId="44" fontId="1" fillId="0" borderId="7" xfId="0" applyNumberFormat="1" applyFont="1" applyBorder="1" applyAlignment="1">
      <alignment horizontal="center" vertical="center"/>
    </xf>
    <xf numFmtId="44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44" fontId="1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44" fontId="1" fillId="0" borderId="12" xfId="0" applyNumberFormat="1" applyFont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164" fontId="8" fillId="2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vertical="center"/>
    </xf>
    <xf numFmtId="0" fontId="7" fillId="0" borderId="13" xfId="0" applyFont="1" applyBorder="1" applyAlignment="1">
      <alignment horizontal="center"/>
    </xf>
    <xf numFmtId="0" fontId="1" fillId="0" borderId="9" xfId="0" applyFont="1" applyBorder="1"/>
    <xf numFmtId="44" fontId="1" fillId="0" borderId="10" xfId="0" applyNumberFormat="1" applyFont="1" applyBorder="1"/>
    <xf numFmtId="0" fontId="1" fillId="0" borderId="11" xfId="0" applyFont="1" applyBorder="1"/>
    <xf numFmtId="44" fontId="1" fillId="0" borderId="12" xfId="0" applyNumberFormat="1" applyFont="1" applyBorder="1"/>
    <xf numFmtId="0" fontId="10" fillId="3" borderId="0" xfId="0" applyFont="1" applyFill="1" applyAlignment="1">
      <alignment vertical="center"/>
    </xf>
    <xf numFmtId="164" fontId="10" fillId="3" borderId="0" xfId="0" applyNumberFormat="1" applyFont="1" applyFill="1" applyAlignment="1">
      <alignment horizontal="center" vertical="center"/>
    </xf>
    <xf numFmtId="0" fontId="13" fillId="0" borderId="0" xfId="0" applyFont="1"/>
    <xf numFmtId="0" fontId="14" fillId="0" borderId="0" xfId="0" applyFont="1"/>
    <xf numFmtId="164" fontId="14" fillId="0" borderId="0" xfId="0" applyNumberFormat="1" applyFont="1"/>
    <xf numFmtId="44" fontId="14" fillId="0" borderId="0" xfId="0" applyNumberFormat="1" applyFont="1"/>
    <xf numFmtId="0" fontId="9" fillId="3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11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right"/>
    </xf>
    <xf numFmtId="0" fontId="18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9" fillId="0" borderId="0" xfId="0" applyFont="1" applyAlignment="1"/>
    <xf numFmtId="0" fontId="0" fillId="0" borderId="0" xfId="0" applyAlignment="1"/>
    <xf numFmtId="0" fontId="4" fillId="0" borderId="2" xfId="0" applyFont="1" applyBorder="1" applyAlignment="1"/>
    <xf numFmtId="0" fontId="20" fillId="0" borderId="3" xfId="0" applyFont="1" applyBorder="1" applyAlignment="1"/>
    <xf numFmtId="0" fontId="4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Roboto"/>
              </a:defRPr>
            </a:pPr>
            <a:r>
              <a:rPr lang="en-PH" b="1">
                <a:solidFill>
                  <a:schemeClr val="dk1"/>
                </a:solidFill>
                <a:latin typeface="Roboto"/>
              </a:rPr>
              <a:t>EXPENSES COMPARISON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2935100155793819E-2"/>
          <c:y val="8.2296409381338295E-2"/>
          <c:w val="0.59973364950424957"/>
          <c:h val="0.87312936844515521"/>
        </c:manualLayout>
      </c:layout>
      <c:doughnutChart>
        <c:varyColors val="1"/>
        <c:ser>
          <c:idx val="0"/>
          <c:order val="0"/>
          <c:tx>
            <c:strRef>
              <c:f>'Quarterly Income Statement'!$G$35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D9D9D9"/>
              </a:solidFill>
            </c:spPr>
            <c:extLst>
              <c:ext xmlns:c16="http://schemas.microsoft.com/office/drawing/2014/chart" uri="{C3380CC4-5D6E-409C-BE32-E72D297353CC}">
                <c16:uniqueId val="{00000001-6EF3-461C-9FE0-D32ED3CB584E}"/>
              </c:ext>
            </c:extLst>
          </c:dPt>
          <c:dPt>
            <c:idx val="1"/>
            <c:bubble3D val="0"/>
            <c:spPr>
              <a:solidFill>
                <a:srgbClr val="E8E8E8"/>
              </a:solidFill>
            </c:spPr>
            <c:extLst>
              <c:ext xmlns:c16="http://schemas.microsoft.com/office/drawing/2014/chart" uri="{C3380CC4-5D6E-409C-BE32-E72D297353CC}">
                <c16:uniqueId val="{00000003-6EF3-461C-9FE0-D32ED3CB584E}"/>
              </c:ext>
            </c:extLst>
          </c:dPt>
          <c:dPt>
            <c:idx val="2"/>
            <c:bubble3D val="0"/>
            <c:spPr>
              <a:solidFill>
                <a:srgbClr val="000000"/>
              </a:solidFill>
            </c:spPr>
            <c:extLst>
              <c:ext xmlns:c16="http://schemas.microsoft.com/office/drawing/2014/chart" uri="{C3380CC4-5D6E-409C-BE32-E72D297353CC}">
                <c16:uniqueId val="{00000005-6EF3-461C-9FE0-D32ED3CB584E}"/>
              </c:ext>
            </c:extLst>
          </c:dPt>
          <c:dPt>
            <c:idx val="3"/>
            <c:bubble3D val="0"/>
            <c:spPr>
              <a:solidFill>
                <a:srgbClr val="434343"/>
              </a:solidFill>
            </c:spPr>
            <c:extLst>
              <c:ext xmlns:c16="http://schemas.microsoft.com/office/drawing/2014/chart" uri="{C3380CC4-5D6E-409C-BE32-E72D297353CC}">
                <c16:uniqueId val="{00000007-6EF3-461C-9FE0-D32ED3CB584E}"/>
              </c:ext>
            </c:extLst>
          </c:dPt>
          <c:dPt>
            <c:idx val="4"/>
            <c:bubble3D val="0"/>
            <c:spPr>
              <a:solidFill>
                <a:srgbClr val="666666"/>
              </a:solidFill>
            </c:spPr>
            <c:extLst>
              <c:ext xmlns:c16="http://schemas.microsoft.com/office/drawing/2014/chart" uri="{C3380CC4-5D6E-409C-BE32-E72D297353CC}">
                <c16:uniqueId val="{00000009-6EF3-461C-9FE0-D32ED3CB584E}"/>
              </c:ext>
            </c:extLst>
          </c:dPt>
          <c:dPt>
            <c:idx val="5"/>
            <c:bubble3D val="0"/>
            <c:spPr>
              <a:solidFill>
                <a:srgbClr val="999999"/>
              </a:solidFill>
            </c:spPr>
            <c:extLst>
              <c:ext xmlns:c16="http://schemas.microsoft.com/office/drawing/2014/chart" uri="{C3380CC4-5D6E-409C-BE32-E72D297353CC}">
                <c16:uniqueId val="{0000000B-6EF3-461C-9FE0-D32ED3CB584E}"/>
              </c:ext>
            </c:extLst>
          </c:dPt>
          <c:dPt>
            <c:idx val="6"/>
            <c:bubble3D val="0"/>
            <c:spPr>
              <a:solidFill>
                <a:srgbClr val="B7B7B7"/>
              </a:solidFill>
            </c:spPr>
            <c:extLst>
              <c:ext xmlns:c16="http://schemas.microsoft.com/office/drawing/2014/chart" uri="{C3380CC4-5D6E-409C-BE32-E72D297353CC}">
                <c16:uniqueId val="{0000000D-6EF3-461C-9FE0-D32ED3CB584E}"/>
              </c:ext>
            </c:extLst>
          </c:dPt>
          <c:dPt>
            <c:idx val="7"/>
            <c:bubble3D val="0"/>
            <c:spPr>
              <a:solidFill>
                <a:srgbClr val="CCCCCC"/>
              </a:solidFill>
            </c:spPr>
            <c:extLst>
              <c:ext xmlns:c16="http://schemas.microsoft.com/office/drawing/2014/chart" uri="{C3380CC4-5D6E-409C-BE32-E72D297353CC}">
                <c16:uniqueId val="{0000000F-6EF3-461C-9FE0-D32ED3CB584E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6EF3-461C-9FE0-D32ED3CB584E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6EF3-461C-9FE0-D32ED3CB584E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6EF3-461C-9FE0-D32ED3CB584E}"/>
              </c:ext>
            </c:extLst>
          </c:dPt>
          <c:cat>
            <c:strRef>
              <c:f>'Quarterly Income Statement'!$B$36:$B$46</c:f>
              <c:strCache>
                <c:ptCount val="8"/>
                <c:pt idx="0">
                  <c:v>Rent and Lease</c:v>
                </c:pt>
                <c:pt idx="1">
                  <c:v>Utilities</c:v>
                </c:pt>
                <c:pt idx="2">
                  <c:v>Wages and Salaries</c:v>
                </c:pt>
                <c:pt idx="3">
                  <c:v>Marketing Expenses</c:v>
                </c:pt>
                <c:pt idx="4">
                  <c:v>Office Supplies</c:v>
                </c:pt>
                <c:pt idx="5">
                  <c:v>Insurance</c:v>
                </c:pt>
                <c:pt idx="6">
                  <c:v>Depreciation</c:v>
                </c:pt>
                <c:pt idx="7">
                  <c:v>Other Operating Expenses</c:v>
                </c:pt>
              </c:strCache>
            </c:strRef>
          </c:cat>
          <c:val>
            <c:numRef>
              <c:f>'Quarterly Income Statement'!$G$36:$G$46</c:f>
              <c:numCache>
                <c:formatCode>_("$"* #,##0.00_);_("$"* \(#,##0.00\);_("$"* "-"??_);_(@_)</c:formatCode>
                <c:ptCount val="11"/>
                <c:pt idx="0">
                  <c:v>6400</c:v>
                </c:pt>
                <c:pt idx="1">
                  <c:v>1260</c:v>
                </c:pt>
                <c:pt idx="2">
                  <c:v>12600</c:v>
                </c:pt>
                <c:pt idx="3">
                  <c:v>3500</c:v>
                </c:pt>
                <c:pt idx="4">
                  <c:v>860</c:v>
                </c:pt>
                <c:pt idx="5">
                  <c:v>1650</c:v>
                </c:pt>
                <c:pt idx="6">
                  <c:v>2910</c:v>
                </c:pt>
                <c:pt idx="7">
                  <c:v>2100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EF3-461C-9FE0-D32ED3CB5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legend>
      <c:legendPos val="r"/>
      <c:layout>
        <c:manualLayout>
          <c:xMode val="edge"/>
          <c:yMode val="edge"/>
          <c:x val="0.70535506779751045"/>
          <c:y val="0.10672277845303689"/>
          <c:w val="0.27236132682679703"/>
          <c:h val="0.5535627284224528"/>
        </c:manualLayout>
      </c:layout>
      <c:overlay val="1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'Quarterly Income Statement'!$H$52</c:f>
              <c:strCache>
                <c:ptCount val="1"/>
                <c:pt idx="0">
                  <c:v>Jan-Mar</c:v>
                </c:pt>
              </c:strCache>
            </c:strRef>
          </c:tx>
          <c:spPr>
            <a:solidFill>
              <a:srgbClr val="43434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A0B2-44A0-B97E-019ADB5541F9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A0B2-44A0-B97E-019ADB5541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'Quarterly Income Statement'!$H$53:$H$58</c:f>
              <c:numCache>
                <c:formatCode>_("$"* #,##0.00_);_("$"* \(#,##0.00\);_("$"* "-"??_);_(@_)</c:formatCode>
                <c:ptCount val="6"/>
                <c:pt idx="0">
                  <c:v>300</c:v>
                </c:pt>
                <c:pt idx="1">
                  <c:v>1200</c:v>
                </c:pt>
                <c:pt idx="5" formatCode="&quot;$&quot;#,##0">
                  <c:v>1500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0B2-44A0-B97E-019ADB5541F9}"/>
            </c:ext>
          </c:extLst>
        </c:ser>
        <c:ser>
          <c:idx val="1"/>
          <c:order val="1"/>
          <c:tx>
            <c:strRef>
              <c:f>'Quarterly Income Statement'!$I$52</c:f>
              <c:strCache>
                <c:ptCount val="1"/>
                <c:pt idx="0">
                  <c:v>Apr-Jun</c:v>
                </c:pt>
              </c:strCache>
            </c:strRef>
          </c:tx>
          <c:spPr>
            <a:solidFill>
              <a:srgbClr val="999999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A0B2-44A0-B97E-019ADB5541F9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A0B2-44A0-B97E-019ADB5541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'Quarterly Income Statement'!$I$53:$I$58</c:f>
              <c:numCache>
                <c:formatCode>_("$"* #,##0.00_);_("$"* \(#,##0.00\);_("$"* "-"??_);_(@_)</c:formatCode>
                <c:ptCount val="6"/>
                <c:pt idx="0">
                  <c:v>310</c:v>
                </c:pt>
                <c:pt idx="1">
                  <c:v>1380</c:v>
                </c:pt>
                <c:pt idx="5" formatCode="&quot;$&quot;#,##0">
                  <c:v>1690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A0B2-44A0-B97E-019ADB5541F9}"/>
            </c:ext>
          </c:extLst>
        </c:ser>
        <c:ser>
          <c:idx val="2"/>
          <c:order val="2"/>
          <c:tx>
            <c:strRef>
              <c:f>'Quarterly Income Statement'!$J$52</c:f>
              <c:strCache>
                <c:ptCount val="1"/>
                <c:pt idx="0">
                  <c:v>Jul-Sep</c:v>
                </c:pt>
              </c:strCache>
            </c:strRef>
          </c:tx>
          <c:spPr>
            <a:solidFill>
              <a:srgbClr val="B7B7B7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A0B2-44A0-B97E-019ADB5541F9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A0B2-44A0-B97E-019ADB5541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'Quarterly Income Statement'!$J$53:$J$58</c:f>
              <c:numCache>
                <c:formatCode>_("$"* #,##0.00_);_("$"* \(#,##0.00\);_("$"* "-"??_);_(@_)</c:formatCode>
                <c:ptCount val="6"/>
                <c:pt idx="0">
                  <c:v>320</c:v>
                </c:pt>
                <c:pt idx="1">
                  <c:v>1425</c:v>
                </c:pt>
                <c:pt idx="5" formatCode="&quot;$&quot;#,##0">
                  <c:v>1745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A0B2-44A0-B97E-019ADB5541F9}"/>
            </c:ext>
          </c:extLst>
        </c:ser>
        <c:ser>
          <c:idx val="3"/>
          <c:order val="3"/>
          <c:tx>
            <c:strRef>
              <c:f>'Quarterly Income Statement'!$K$52</c:f>
              <c:strCache>
                <c:ptCount val="1"/>
                <c:pt idx="0">
                  <c:v>Oct-Dec</c:v>
                </c:pt>
              </c:strCache>
            </c:strRef>
          </c:tx>
          <c:spPr>
            <a:solidFill>
              <a:srgbClr val="D9D9D9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6-A0B2-44A0-B97E-019ADB5541F9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A0B2-44A0-B97E-019ADB5541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'Quarterly Income Statement'!$K$53:$K$58</c:f>
              <c:numCache>
                <c:formatCode>_("$"* #,##0.00_);_("$"* \(#,##0.00\);_("$"* "-"??_);_(@_)</c:formatCode>
                <c:ptCount val="6"/>
                <c:pt idx="0">
                  <c:v>290</c:v>
                </c:pt>
                <c:pt idx="1">
                  <c:v>1320</c:v>
                </c:pt>
                <c:pt idx="5" formatCode="&quot;$&quot;#,##0">
                  <c:v>1610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A0B2-44A0-B97E-019ADB554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3709825"/>
        <c:axId val="1654967310"/>
      </c:barChart>
      <c:catAx>
        <c:axId val="7237098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54967310"/>
        <c:crosses val="autoZero"/>
        <c:auto val="1"/>
        <c:lblAlgn val="ctr"/>
        <c:lblOffset val="100"/>
        <c:noMultiLvlLbl val="1"/>
      </c:catAx>
      <c:valAx>
        <c:axId val="16549673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2370982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lang="en-PH" b="1">
                <a:solidFill>
                  <a:srgbClr val="000000"/>
                </a:solidFill>
                <a:latin typeface="Roboto"/>
              </a:rPr>
              <a:t>INCOME PER QUARTER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279852663370223"/>
          <c:y val="0.2365302246172267"/>
          <c:w val="0.75933746369741117"/>
          <c:h val="0.6098617266809746"/>
        </c:manualLayout>
      </c:layout>
      <c:areaChart>
        <c:grouping val="stacked"/>
        <c:varyColors val="1"/>
        <c:ser>
          <c:idx val="0"/>
          <c:order val="0"/>
          <c:tx>
            <c:strRef>
              <c:f>Helper!$C$2</c:f>
              <c:strCache>
                <c:ptCount val="1"/>
                <c:pt idx="0">
                  <c:v>Jan-Mar</c:v>
                </c:pt>
              </c:strCache>
            </c:strRef>
          </c:tx>
          <c:spPr>
            <a:solidFill>
              <a:srgbClr val="CCCCCC">
                <a:alpha val="30000"/>
              </a:srgbClr>
            </a:solidFill>
            <a:ln cmpd="sng">
              <a:solidFill>
                <a:srgbClr val="CCCCCC">
                  <a:alpha val="100000"/>
                </a:srgbClr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Helper!$B$3:$B$5</c:f>
              <c:strCache>
                <c:ptCount val="3"/>
                <c:pt idx="0">
                  <c:v>Sales Revenue</c:v>
                </c:pt>
                <c:pt idx="1">
                  <c:v>Service Revenue</c:v>
                </c:pt>
                <c:pt idx="2">
                  <c:v>Other Income</c:v>
                </c:pt>
              </c:strCache>
            </c:strRef>
          </c:cat>
          <c:val>
            <c:numRef>
              <c:f>Helper!$C$3:$C$5</c:f>
              <c:numCache>
                <c:formatCode>_("$"* #,##0.00_);_("$"* \(#,##0.00\);_("$"* "-"??_);_(@_)</c:formatCode>
                <c:ptCount val="3"/>
                <c:pt idx="0" formatCode="&quot;$&quot;#,##0">
                  <c:v>10000</c:v>
                </c:pt>
                <c:pt idx="1">
                  <c:v>5000</c:v>
                </c:pt>
                <c:pt idx="2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E-40ED-9619-7742722E2CC0}"/>
            </c:ext>
          </c:extLst>
        </c:ser>
        <c:ser>
          <c:idx val="1"/>
          <c:order val="1"/>
          <c:tx>
            <c:strRef>
              <c:f>Helper!$D$2</c:f>
              <c:strCache>
                <c:ptCount val="1"/>
                <c:pt idx="0">
                  <c:v>Apr-Jun</c:v>
                </c:pt>
              </c:strCache>
            </c:strRef>
          </c:tx>
          <c:spPr>
            <a:solidFill>
              <a:srgbClr val="B7B7B7">
                <a:alpha val="30000"/>
              </a:srgbClr>
            </a:solidFill>
            <a:ln cmpd="sng">
              <a:solidFill>
                <a:srgbClr val="B7B7B7">
                  <a:alpha val="100000"/>
                </a:srgbClr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Helper!$B$3:$B$5</c:f>
              <c:strCache>
                <c:ptCount val="3"/>
                <c:pt idx="0">
                  <c:v>Sales Revenue</c:v>
                </c:pt>
                <c:pt idx="1">
                  <c:v>Service Revenue</c:v>
                </c:pt>
                <c:pt idx="2">
                  <c:v>Other Income</c:v>
                </c:pt>
              </c:strCache>
            </c:strRef>
          </c:cat>
          <c:val>
            <c:numRef>
              <c:f>Helper!$D$3:$D$5</c:f>
              <c:numCache>
                <c:formatCode>_("$"* #,##0.00_);_("$"* \(#,##0.00\);_("$"* "-"??_);_(@_)</c:formatCode>
                <c:ptCount val="3"/>
                <c:pt idx="0">
                  <c:v>11500</c:v>
                </c:pt>
                <c:pt idx="1">
                  <c:v>6200</c:v>
                </c:pt>
                <c:pt idx="2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6E-40ED-9619-7742722E2CC0}"/>
            </c:ext>
          </c:extLst>
        </c:ser>
        <c:ser>
          <c:idx val="2"/>
          <c:order val="2"/>
          <c:tx>
            <c:strRef>
              <c:f>Helper!$E$2</c:f>
              <c:strCache>
                <c:ptCount val="1"/>
                <c:pt idx="0">
                  <c:v>Jul-Sep</c:v>
                </c:pt>
              </c:strCache>
            </c:strRef>
          </c:tx>
          <c:spPr>
            <a:solidFill>
              <a:srgbClr val="999999">
                <a:alpha val="30000"/>
              </a:srgbClr>
            </a:solidFill>
            <a:ln cmpd="sng">
              <a:solidFill>
                <a:srgbClr val="999999">
                  <a:alpha val="100000"/>
                </a:srgbClr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Helper!$B$3:$B$5</c:f>
              <c:strCache>
                <c:ptCount val="3"/>
                <c:pt idx="0">
                  <c:v>Sales Revenue</c:v>
                </c:pt>
                <c:pt idx="1">
                  <c:v>Service Revenue</c:v>
                </c:pt>
                <c:pt idx="2">
                  <c:v>Other Income</c:v>
                </c:pt>
              </c:strCache>
            </c:strRef>
          </c:cat>
          <c:val>
            <c:numRef>
              <c:f>Helper!$E$3:$E$5</c:f>
              <c:numCache>
                <c:formatCode>_("$"* #,##0.00_);_("$"* \(#,##0.00\);_("$"* "-"??_);_(@_)</c:formatCode>
                <c:ptCount val="3"/>
                <c:pt idx="0">
                  <c:v>12000</c:v>
                </c:pt>
                <c:pt idx="1">
                  <c:v>5800</c:v>
                </c:pt>
                <c:pt idx="2">
                  <c:v>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6E-40ED-9619-7742722E2CC0}"/>
            </c:ext>
          </c:extLst>
        </c:ser>
        <c:ser>
          <c:idx val="3"/>
          <c:order val="3"/>
          <c:tx>
            <c:strRef>
              <c:f>Helper!$F$2</c:f>
              <c:strCache>
                <c:ptCount val="1"/>
                <c:pt idx="0">
                  <c:v>Oct-Dec</c:v>
                </c:pt>
              </c:strCache>
            </c:strRef>
          </c:tx>
          <c:spPr>
            <a:solidFill>
              <a:srgbClr val="434343">
                <a:alpha val="30000"/>
              </a:srgbClr>
            </a:solidFill>
            <a:ln cmpd="sng">
              <a:solidFill>
                <a:srgbClr val="434343">
                  <a:alpha val="100000"/>
                </a:srgbClr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Helper!$B$3:$B$5</c:f>
              <c:strCache>
                <c:ptCount val="3"/>
                <c:pt idx="0">
                  <c:v>Sales Revenue</c:v>
                </c:pt>
                <c:pt idx="1">
                  <c:v>Service Revenue</c:v>
                </c:pt>
                <c:pt idx="2">
                  <c:v>Other Income</c:v>
                </c:pt>
              </c:strCache>
            </c:strRef>
          </c:cat>
          <c:val>
            <c:numRef>
              <c:f>Helper!$F$3:$F$5</c:f>
              <c:numCache>
                <c:formatCode>_("$"* #,##0.00_);_("$"* \(#,##0.00\);_("$"* "-"??_);_(@_)</c:formatCode>
                <c:ptCount val="3"/>
                <c:pt idx="0">
                  <c:v>11200</c:v>
                </c:pt>
                <c:pt idx="1">
                  <c:v>6500</c:v>
                </c:pt>
                <c:pt idx="2">
                  <c:v>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6E-40ED-9619-7742722E2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3357850"/>
        <c:axId val="210282869"/>
      </c:areaChart>
      <c:catAx>
        <c:axId val="8233578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0282869"/>
        <c:crosses val="autoZero"/>
        <c:auto val="1"/>
        <c:lblAlgn val="ctr"/>
        <c:lblOffset val="100"/>
        <c:noMultiLvlLbl val="1"/>
      </c:catAx>
      <c:valAx>
        <c:axId val="210282869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&quot;$&quot;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23357850"/>
        <c:crosses val="autoZero"/>
        <c:crossBetween val="midCat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PH" b="1">
                <a:solidFill>
                  <a:srgbClr val="000000"/>
                </a:solidFill>
                <a:latin typeface="+mn-lt"/>
              </a:rPr>
              <a:t>COGS AMOUNT TIMELINE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0.11426627604166664"/>
          <c:y val="0.20292003593890387"/>
          <c:w val="0.82156705729166679"/>
          <c:h val="0.747079964061096"/>
        </c:manualLayout>
      </c:layout>
      <c:bar3DChart>
        <c:barDir val="bar"/>
        <c:grouping val="stacked"/>
        <c:varyColors val="1"/>
        <c:ser>
          <c:idx val="0"/>
          <c:order val="0"/>
          <c:tx>
            <c:strRef>
              <c:f>Helper!$H$3</c:f>
              <c:strCache>
                <c:ptCount val="1"/>
                <c:pt idx="0">
                  <c:v>Materials and Supplies</c:v>
                </c:pt>
              </c:strCache>
            </c:strRef>
          </c:tx>
          <c:spPr>
            <a:solidFill>
              <a:srgbClr val="43434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Helper!$I$2:$L$2</c:f>
              <c:strCache>
                <c:ptCount val="4"/>
                <c:pt idx="0">
                  <c:v>Jan-Mar</c:v>
                </c:pt>
                <c:pt idx="1">
                  <c:v>Apr-Jun</c:v>
                </c:pt>
                <c:pt idx="2">
                  <c:v>Jul-Sep</c:v>
                </c:pt>
                <c:pt idx="3">
                  <c:v>Oct-Dec</c:v>
                </c:pt>
              </c:strCache>
            </c:strRef>
          </c:cat>
          <c:val>
            <c:numRef>
              <c:f>Helper!$I$3:$L$3</c:f>
              <c:numCache>
                <c:formatCode>_("$"* #,##0.00_);_("$"* \(#,##0.00\);_("$"* "-"??_);_(@_)</c:formatCode>
                <c:ptCount val="4"/>
                <c:pt idx="0">
                  <c:v>3000</c:v>
                </c:pt>
                <c:pt idx="1">
                  <c:v>3500</c:v>
                </c:pt>
                <c:pt idx="2">
                  <c:v>3700</c:v>
                </c:pt>
                <c:pt idx="3">
                  <c:v>3300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205-44C2-A81F-1E678579985D}"/>
            </c:ext>
          </c:extLst>
        </c:ser>
        <c:ser>
          <c:idx val="1"/>
          <c:order val="1"/>
          <c:tx>
            <c:strRef>
              <c:f>Helper!$H$4</c:f>
              <c:strCache>
                <c:ptCount val="1"/>
                <c:pt idx="0">
                  <c:v>Labor Costs</c:v>
                </c:pt>
              </c:strCache>
            </c:strRef>
          </c:tx>
          <c:spPr>
            <a:solidFill>
              <a:srgbClr val="B7B7B7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Helper!$I$2:$L$2</c:f>
              <c:strCache>
                <c:ptCount val="4"/>
                <c:pt idx="0">
                  <c:v>Jan-Mar</c:v>
                </c:pt>
                <c:pt idx="1">
                  <c:v>Apr-Jun</c:v>
                </c:pt>
                <c:pt idx="2">
                  <c:v>Jul-Sep</c:v>
                </c:pt>
                <c:pt idx="3">
                  <c:v>Oct-Dec</c:v>
                </c:pt>
              </c:strCache>
            </c:strRef>
          </c:cat>
          <c:val>
            <c:numRef>
              <c:f>Helper!$I$4:$L$4</c:f>
              <c:numCache>
                <c:formatCode>_("$"* #,##0.00_);_("$"* \(#,##0.00\);_("$"* "-"??_);_(@_)</c:formatCode>
                <c:ptCount val="4"/>
                <c:pt idx="0">
                  <c:v>2200</c:v>
                </c:pt>
                <c:pt idx="1">
                  <c:v>2500</c:v>
                </c:pt>
                <c:pt idx="2">
                  <c:v>2800</c:v>
                </c:pt>
                <c:pt idx="3">
                  <c:v>2600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205-44C2-A81F-1E678579985D}"/>
            </c:ext>
          </c:extLst>
        </c:ser>
        <c:ser>
          <c:idx val="2"/>
          <c:order val="2"/>
          <c:tx>
            <c:strRef>
              <c:f>Helper!$H$5</c:f>
              <c:strCache>
                <c:ptCount val="1"/>
                <c:pt idx="0">
                  <c:v>Other COGS</c:v>
                </c:pt>
              </c:strCache>
            </c:strRef>
          </c:tx>
          <c:spPr>
            <a:solidFill>
              <a:srgbClr val="D9D9D9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Helper!$I$2:$L$2</c:f>
              <c:strCache>
                <c:ptCount val="4"/>
                <c:pt idx="0">
                  <c:v>Jan-Mar</c:v>
                </c:pt>
                <c:pt idx="1">
                  <c:v>Apr-Jun</c:v>
                </c:pt>
                <c:pt idx="2">
                  <c:v>Jul-Sep</c:v>
                </c:pt>
                <c:pt idx="3">
                  <c:v>Oct-Dec</c:v>
                </c:pt>
              </c:strCache>
            </c:strRef>
          </c:cat>
          <c:val>
            <c:numRef>
              <c:f>Helper!$I$5:$L$5</c:f>
              <c:numCache>
                <c:formatCode>_("$"* #,##0.00_);_("$"* \(#,##0.00\);_("$"* "-"??_);_(@_)</c:formatCode>
                <c:ptCount val="4"/>
                <c:pt idx="0">
                  <c:v>300</c:v>
                </c:pt>
                <c:pt idx="1">
                  <c:v>400</c:v>
                </c:pt>
                <c:pt idx="2">
                  <c:v>350</c:v>
                </c:pt>
                <c:pt idx="3">
                  <c:v>380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205-44C2-A81F-1E6785799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53593728"/>
        <c:axId val="810699306"/>
        <c:axId val="0"/>
      </c:bar3DChart>
      <c:catAx>
        <c:axId val="145359372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 Narrow"/>
              </a:defRPr>
            </a:pPr>
            <a:endParaRPr lang="en-US"/>
          </a:p>
        </c:txPr>
        <c:crossAx val="810699306"/>
        <c:crosses val="autoZero"/>
        <c:auto val="1"/>
        <c:lblAlgn val="ctr"/>
        <c:lblOffset val="100"/>
        <c:noMultiLvlLbl val="1"/>
      </c:catAx>
      <c:valAx>
        <c:axId val="8106993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53593728"/>
        <c:crosses val="max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190499</xdr:colOff>
      <xdr:row>32</xdr:row>
      <xdr:rowOff>6061</xdr:rowOff>
    </xdr:from>
    <xdr:ext cx="6269183" cy="4306166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5195</xdr:colOff>
      <xdr:row>51</xdr:row>
      <xdr:rowOff>17318</xdr:rowOff>
    </xdr:from>
    <xdr:ext cx="6367895" cy="1974274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7</xdr:col>
      <xdr:colOff>207819</xdr:colOff>
      <xdr:row>7</xdr:row>
      <xdr:rowOff>123825</xdr:rowOff>
    </xdr:from>
    <xdr:ext cx="6269181" cy="2941493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5194</xdr:colOff>
      <xdr:row>19</xdr:row>
      <xdr:rowOff>6061</xdr:rowOff>
    </xdr:from>
    <xdr:ext cx="6160077" cy="3093893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template.net/" TargetMode="External"/><Relationship Id="rId1" Type="http://schemas.openxmlformats.org/officeDocument/2006/relationships/hyperlink" Target="https://www.template.net/editable/statement-sheet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M62"/>
  <sheetViews>
    <sheetView showGridLines="0" tabSelected="1" topLeftCell="A4" zoomScale="55" zoomScaleNormal="55" workbookViewId="0">
      <selection activeCell="Q15" sqref="Q15"/>
    </sheetView>
  </sheetViews>
  <sheetFormatPr defaultColWidth="12.5703125" defaultRowHeight="15.75" customHeight="1"/>
  <cols>
    <col min="1" max="1" width="3.7109375" customWidth="1"/>
    <col min="2" max="12" width="19.42578125" customWidth="1"/>
    <col min="13" max="13" width="3.7109375" customWidth="1"/>
  </cols>
  <sheetData>
    <row r="1" spans="1:13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2.75">
      <c r="A2" s="1"/>
      <c r="B2" s="32" t="s">
        <v>0</v>
      </c>
      <c r="C2" s="36"/>
      <c r="D2" s="36"/>
      <c r="E2" s="36"/>
      <c r="F2" s="36"/>
      <c r="G2" s="33" t="s">
        <v>1</v>
      </c>
      <c r="H2" s="37"/>
      <c r="I2" s="34" t="s">
        <v>2</v>
      </c>
      <c r="J2" s="38"/>
      <c r="K2" s="33" t="s">
        <v>3</v>
      </c>
      <c r="L2" s="37"/>
      <c r="M2" s="1"/>
    </row>
    <row r="3" spans="1:13" ht="37.5" customHeight="1">
      <c r="A3" s="1"/>
      <c r="B3" s="36"/>
      <c r="C3" s="36"/>
      <c r="D3" s="36"/>
      <c r="E3" s="36"/>
      <c r="F3" s="36"/>
      <c r="G3" s="35">
        <f>G18-L30</f>
        <v>45300</v>
      </c>
      <c r="H3" s="35"/>
      <c r="I3" s="35">
        <f>G3-G47</f>
        <v>14020</v>
      </c>
      <c r="J3" s="35"/>
      <c r="K3" s="35">
        <f>I3-L58</f>
        <v>7475</v>
      </c>
      <c r="L3" s="35"/>
      <c r="M3" s="1"/>
    </row>
    <row r="4" spans="1:13" ht="37.5" customHeight="1">
      <c r="A4" s="1"/>
      <c r="B4" s="36"/>
      <c r="C4" s="36"/>
      <c r="D4" s="36"/>
      <c r="E4" s="36"/>
      <c r="F4" s="36"/>
      <c r="G4" s="35"/>
      <c r="H4" s="35"/>
      <c r="I4" s="35"/>
      <c r="J4" s="35"/>
      <c r="K4" s="35"/>
      <c r="L4" s="35"/>
      <c r="M4" s="1"/>
    </row>
    <row r="5" spans="1:13" ht="37.5" customHeight="1">
      <c r="A5" s="1"/>
      <c r="B5" s="36"/>
      <c r="C5" s="36"/>
      <c r="D5" s="36"/>
      <c r="E5" s="36"/>
      <c r="F5" s="36"/>
      <c r="G5" s="35"/>
      <c r="H5" s="35"/>
      <c r="I5" s="35"/>
      <c r="J5" s="35"/>
      <c r="K5" s="35"/>
      <c r="L5" s="35"/>
      <c r="M5" s="1"/>
    </row>
    <row r="6" spans="1:13" ht="18.75" customHeight="1">
      <c r="A6" s="1"/>
      <c r="B6" s="39"/>
      <c r="C6" s="39"/>
      <c r="D6" s="39"/>
      <c r="E6" s="39"/>
      <c r="F6" s="39"/>
      <c r="G6" s="2"/>
      <c r="H6" s="3"/>
      <c r="I6" s="3"/>
      <c r="J6" s="3"/>
      <c r="K6" s="3"/>
      <c r="L6" s="3"/>
      <c r="M6" s="1"/>
    </row>
    <row r="7" spans="1:13" ht="12.75">
      <c r="A7" s="1"/>
      <c r="B7" s="4"/>
      <c r="C7" s="4"/>
      <c r="D7" s="4"/>
      <c r="E7" s="4"/>
      <c r="F7" s="1"/>
      <c r="G7" s="1"/>
      <c r="H7" s="1"/>
      <c r="I7" s="1"/>
      <c r="J7" s="1"/>
      <c r="K7" s="1"/>
      <c r="L7" s="1"/>
      <c r="M7" s="1"/>
    </row>
    <row r="8" spans="1:13" ht="12.75">
      <c r="A8" s="1"/>
      <c r="B8" s="4"/>
      <c r="C8" s="4"/>
      <c r="D8" s="4"/>
      <c r="E8" s="4"/>
      <c r="F8" s="1"/>
      <c r="G8" s="1"/>
      <c r="H8" s="1"/>
      <c r="I8" s="1"/>
      <c r="J8" s="1"/>
      <c r="K8" s="1"/>
      <c r="L8" s="1"/>
      <c r="M8" s="1"/>
    </row>
    <row r="9" spans="1:13" ht="30" customHeight="1">
      <c r="A9" s="1"/>
      <c r="B9" s="29" t="s">
        <v>4</v>
      </c>
      <c r="C9" s="37"/>
      <c r="D9" s="37"/>
      <c r="E9" s="37"/>
      <c r="F9" s="37"/>
      <c r="G9" s="37"/>
      <c r="H9" s="4"/>
      <c r="I9" s="4"/>
      <c r="J9" s="4"/>
      <c r="K9" s="4"/>
      <c r="L9" s="4"/>
      <c r="M9" s="1"/>
    </row>
    <row r="10" spans="1:13" ht="4.5" customHeight="1">
      <c r="A10" s="1"/>
      <c r="B10" s="1"/>
      <c r="C10" s="1"/>
      <c r="D10" s="1"/>
      <c r="E10" s="1"/>
      <c r="F10" s="1"/>
      <c r="G10" s="1"/>
      <c r="H10" s="4"/>
      <c r="I10" s="4"/>
      <c r="J10" s="4"/>
      <c r="K10" s="4"/>
      <c r="L10" s="4"/>
      <c r="M10" s="1"/>
    </row>
    <row r="11" spans="1:13" ht="24" customHeight="1">
      <c r="A11" s="5"/>
      <c r="B11" s="6" t="s">
        <v>5</v>
      </c>
      <c r="C11" s="6" t="s">
        <v>6</v>
      </c>
      <c r="D11" s="6" t="s">
        <v>7</v>
      </c>
      <c r="E11" s="6" t="s">
        <v>8</v>
      </c>
      <c r="F11" s="6" t="s">
        <v>9</v>
      </c>
      <c r="G11" s="6" t="s">
        <v>10</v>
      </c>
      <c r="H11" s="5"/>
      <c r="I11" s="5"/>
      <c r="J11" s="5"/>
      <c r="K11" s="5"/>
      <c r="L11" s="5"/>
      <c r="M11" s="5"/>
    </row>
    <row r="12" spans="1:13" ht="22.5" customHeight="1">
      <c r="A12" s="1"/>
      <c r="B12" s="7" t="s">
        <v>11</v>
      </c>
      <c r="C12" s="8">
        <v>10000</v>
      </c>
      <c r="D12" s="8">
        <v>11500</v>
      </c>
      <c r="E12" s="8">
        <v>12000</v>
      </c>
      <c r="F12" s="8">
        <v>11200</v>
      </c>
      <c r="G12" s="9">
        <f t="shared" ref="G12:G17" si="0">SUM(C12:F12)</f>
        <v>44700</v>
      </c>
      <c r="H12" s="4"/>
      <c r="I12" s="4"/>
      <c r="J12" s="4"/>
      <c r="K12" s="4"/>
      <c r="L12" s="4"/>
      <c r="M12" s="1"/>
    </row>
    <row r="13" spans="1:13" ht="22.5" customHeight="1">
      <c r="A13" s="1"/>
      <c r="B13" s="10" t="s">
        <v>12</v>
      </c>
      <c r="C13" s="11">
        <v>5000</v>
      </c>
      <c r="D13" s="11">
        <v>6200</v>
      </c>
      <c r="E13" s="11">
        <v>5800</v>
      </c>
      <c r="F13" s="11">
        <v>6500</v>
      </c>
      <c r="G13" s="9">
        <f t="shared" si="0"/>
        <v>23500</v>
      </c>
      <c r="H13" s="4"/>
      <c r="I13" s="4"/>
      <c r="J13" s="4"/>
      <c r="K13" s="4"/>
      <c r="L13" s="4"/>
      <c r="M13" s="1"/>
    </row>
    <row r="14" spans="1:13" ht="22.5" customHeight="1">
      <c r="A14" s="1"/>
      <c r="B14" s="10" t="s">
        <v>13</v>
      </c>
      <c r="C14" s="11">
        <v>500</v>
      </c>
      <c r="D14" s="11">
        <v>600</v>
      </c>
      <c r="E14" s="11">
        <v>550</v>
      </c>
      <c r="F14" s="11">
        <v>480</v>
      </c>
      <c r="G14" s="9">
        <f t="shared" si="0"/>
        <v>2130</v>
      </c>
      <c r="H14" s="4"/>
      <c r="I14" s="4"/>
      <c r="J14" s="4"/>
      <c r="K14" s="4"/>
      <c r="L14" s="4"/>
      <c r="M14" s="1"/>
    </row>
    <row r="15" spans="1:13" ht="22.5" customHeight="1">
      <c r="A15" s="1"/>
      <c r="B15" s="10"/>
      <c r="C15" s="11"/>
      <c r="D15" s="11"/>
      <c r="E15" s="11"/>
      <c r="F15" s="11"/>
      <c r="G15" s="9">
        <f t="shared" si="0"/>
        <v>0</v>
      </c>
      <c r="H15" s="4"/>
      <c r="I15" s="4"/>
      <c r="J15" s="4"/>
      <c r="K15" s="4"/>
      <c r="L15" s="4"/>
      <c r="M15" s="1"/>
    </row>
    <row r="16" spans="1:13" ht="22.5" customHeight="1">
      <c r="A16" s="1"/>
      <c r="B16" s="10"/>
      <c r="C16" s="11"/>
      <c r="D16" s="11"/>
      <c r="E16" s="11"/>
      <c r="F16" s="11"/>
      <c r="G16" s="9">
        <f t="shared" si="0"/>
        <v>0</v>
      </c>
      <c r="H16" s="4"/>
      <c r="I16" s="4"/>
      <c r="J16" s="4"/>
      <c r="K16" s="4"/>
      <c r="L16" s="4"/>
      <c r="M16" s="1"/>
    </row>
    <row r="17" spans="1:13" ht="22.5" customHeight="1">
      <c r="A17" s="1"/>
      <c r="B17" s="12"/>
      <c r="C17" s="13"/>
      <c r="D17" s="13"/>
      <c r="E17" s="13"/>
      <c r="F17" s="13"/>
      <c r="G17" s="9">
        <f t="shared" si="0"/>
        <v>0</v>
      </c>
      <c r="H17" s="4"/>
      <c r="I17" s="4"/>
      <c r="J17" s="4"/>
      <c r="K17" s="4"/>
      <c r="L17" s="4"/>
      <c r="M17" s="1"/>
    </row>
    <row r="18" spans="1:13" ht="19.5" customHeight="1">
      <c r="A18" s="1"/>
      <c r="B18" s="14" t="s">
        <v>14</v>
      </c>
      <c r="C18" s="15">
        <f t="shared" ref="C18:G18" si="1">SUM(C12:C17)</f>
        <v>15500</v>
      </c>
      <c r="D18" s="15">
        <f t="shared" si="1"/>
        <v>18300</v>
      </c>
      <c r="E18" s="15">
        <f t="shared" si="1"/>
        <v>18350</v>
      </c>
      <c r="F18" s="15">
        <f t="shared" si="1"/>
        <v>18180</v>
      </c>
      <c r="G18" s="15">
        <f t="shared" si="1"/>
        <v>70330</v>
      </c>
      <c r="H18" s="4"/>
      <c r="I18" s="4"/>
      <c r="J18" s="4"/>
      <c r="K18" s="4"/>
      <c r="L18" s="4"/>
      <c r="M18" s="1"/>
    </row>
    <row r="19" spans="1:13" ht="12.75">
      <c r="A19" s="1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1"/>
    </row>
    <row r="20" spans="1:13" ht="12.75">
      <c r="A20" s="1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1"/>
    </row>
    <row r="21" spans="1:13" ht="30" customHeight="1">
      <c r="A21" s="1"/>
      <c r="B21" s="4"/>
      <c r="C21" s="4"/>
      <c r="D21" s="4"/>
      <c r="E21" s="4"/>
      <c r="G21" s="28" t="s">
        <v>15</v>
      </c>
      <c r="H21" s="37"/>
      <c r="I21" s="37"/>
      <c r="J21" s="37"/>
      <c r="K21" s="37"/>
      <c r="L21" s="37"/>
      <c r="M21" s="1"/>
    </row>
    <row r="22" spans="1:13" ht="4.5" customHeight="1">
      <c r="A22" s="1"/>
      <c r="B22" s="4"/>
      <c r="C22" s="4"/>
      <c r="D22" s="4"/>
      <c r="E22" s="4"/>
      <c r="F22" s="1"/>
      <c r="G22" s="1"/>
      <c r="H22" s="1"/>
      <c r="I22" s="1"/>
      <c r="J22" s="1"/>
      <c r="K22" s="1"/>
      <c r="L22" s="1"/>
      <c r="M22" s="1"/>
    </row>
    <row r="23" spans="1:13" ht="24" customHeight="1">
      <c r="A23" s="5"/>
      <c r="B23" s="5"/>
      <c r="C23" s="5"/>
      <c r="D23" s="5"/>
      <c r="E23" s="5"/>
      <c r="G23" s="17" t="s">
        <v>5</v>
      </c>
      <c r="H23" s="17" t="s">
        <v>6</v>
      </c>
      <c r="I23" s="17" t="s">
        <v>7</v>
      </c>
      <c r="J23" s="17" t="s">
        <v>8</v>
      </c>
      <c r="K23" s="17" t="s">
        <v>9</v>
      </c>
      <c r="L23" s="17" t="s">
        <v>10</v>
      </c>
      <c r="M23" s="5"/>
    </row>
    <row r="24" spans="1:13" ht="22.5" customHeight="1">
      <c r="A24" s="1"/>
      <c r="B24" s="1"/>
      <c r="C24" s="1"/>
      <c r="D24" s="1"/>
      <c r="E24" s="4"/>
      <c r="G24" s="7" t="s">
        <v>16</v>
      </c>
      <c r="H24" s="8">
        <v>3000</v>
      </c>
      <c r="I24" s="8">
        <v>3500</v>
      </c>
      <c r="J24" s="8">
        <v>3700</v>
      </c>
      <c r="K24" s="8">
        <v>3300</v>
      </c>
      <c r="L24" s="9">
        <f t="shared" ref="L24:L29" si="2">SUM(H24:K24)</f>
        <v>13500</v>
      </c>
      <c r="M24" s="1"/>
    </row>
    <row r="25" spans="1:13" ht="22.5" customHeight="1">
      <c r="A25" s="1"/>
      <c r="B25" s="1"/>
      <c r="C25" s="1"/>
      <c r="D25" s="1"/>
      <c r="E25" s="4"/>
      <c r="G25" s="10" t="s">
        <v>17</v>
      </c>
      <c r="H25" s="11">
        <v>2200</v>
      </c>
      <c r="I25" s="11">
        <v>2500</v>
      </c>
      <c r="J25" s="11">
        <v>2800</v>
      </c>
      <c r="K25" s="11">
        <v>2600</v>
      </c>
      <c r="L25" s="9">
        <f t="shared" si="2"/>
        <v>10100</v>
      </c>
      <c r="M25" s="1"/>
    </row>
    <row r="26" spans="1:13" ht="22.5" customHeight="1">
      <c r="A26" s="1"/>
      <c r="B26" s="1"/>
      <c r="C26" s="1"/>
      <c r="D26" s="1"/>
      <c r="E26" s="4"/>
      <c r="G26" s="10" t="s">
        <v>18</v>
      </c>
      <c r="H26" s="11">
        <v>300</v>
      </c>
      <c r="I26" s="11">
        <v>400</v>
      </c>
      <c r="J26" s="11">
        <v>350</v>
      </c>
      <c r="K26" s="11">
        <v>380</v>
      </c>
      <c r="L26" s="9">
        <f t="shared" si="2"/>
        <v>1430</v>
      </c>
      <c r="M26" s="1"/>
    </row>
    <row r="27" spans="1:13" ht="22.5" customHeight="1">
      <c r="A27" s="1"/>
      <c r="B27" s="1"/>
      <c r="C27" s="1"/>
      <c r="D27" s="1"/>
      <c r="E27" s="4"/>
      <c r="G27" s="18"/>
      <c r="H27" s="19"/>
      <c r="I27" s="19"/>
      <c r="J27" s="19"/>
      <c r="K27" s="19"/>
      <c r="L27" s="9">
        <f t="shared" si="2"/>
        <v>0</v>
      </c>
      <c r="M27" s="1"/>
    </row>
    <row r="28" spans="1:13" ht="22.5" customHeight="1">
      <c r="A28" s="1"/>
      <c r="B28" s="1"/>
      <c r="C28" s="1"/>
      <c r="D28" s="1"/>
      <c r="E28" s="4"/>
      <c r="G28" s="18"/>
      <c r="H28" s="19"/>
      <c r="I28" s="19"/>
      <c r="J28" s="19"/>
      <c r="K28" s="19"/>
      <c r="L28" s="9">
        <f t="shared" si="2"/>
        <v>0</v>
      </c>
      <c r="M28" s="1"/>
    </row>
    <row r="29" spans="1:13" ht="22.5" customHeight="1">
      <c r="A29" s="1"/>
      <c r="B29" s="1"/>
      <c r="C29" s="1"/>
      <c r="D29" s="1"/>
      <c r="E29" s="4"/>
      <c r="G29" s="20"/>
      <c r="H29" s="21"/>
      <c r="I29" s="21"/>
      <c r="J29" s="21"/>
      <c r="K29" s="21"/>
      <c r="L29" s="9">
        <f t="shared" si="2"/>
        <v>0</v>
      </c>
      <c r="M29" s="1"/>
    </row>
    <row r="30" spans="1:13" ht="19.5" customHeight="1">
      <c r="A30" s="1"/>
      <c r="B30" s="1"/>
      <c r="C30" s="1"/>
      <c r="D30" s="1"/>
      <c r="E30" s="4"/>
      <c r="G30" s="22" t="s">
        <v>14</v>
      </c>
      <c r="H30" s="23">
        <f t="shared" ref="H30:L30" si="3">SUM(H24:H29)</f>
        <v>5500</v>
      </c>
      <c r="I30" s="23">
        <f t="shared" si="3"/>
        <v>6400</v>
      </c>
      <c r="J30" s="23">
        <f t="shared" si="3"/>
        <v>6850</v>
      </c>
      <c r="K30" s="23">
        <f t="shared" si="3"/>
        <v>6280</v>
      </c>
      <c r="L30" s="23">
        <f t="shared" si="3"/>
        <v>25030</v>
      </c>
      <c r="M30" s="1"/>
    </row>
    <row r="31" spans="1:13" ht="12.75">
      <c r="A31" s="1"/>
      <c r="B31" s="1"/>
      <c r="C31" s="1"/>
      <c r="D31" s="1"/>
      <c r="E31" s="4"/>
      <c r="F31" s="4"/>
      <c r="G31" s="4"/>
      <c r="H31" s="4"/>
      <c r="I31" s="4"/>
      <c r="J31" s="4"/>
      <c r="K31" s="4"/>
      <c r="L31" s="4"/>
      <c r="M31" s="1"/>
    </row>
    <row r="32" spans="1:13" ht="12.75">
      <c r="A32" s="1"/>
      <c r="B32" s="1"/>
      <c r="C32" s="1"/>
      <c r="D32" s="1"/>
      <c r="E32" s="4"/>
      <c r="F32" s="4"/>
      <c r="G32" s="4"/>
      <c r="H32" s="4"/>
      <c r="I32" s="4"/>
      <c r="J32" s="4"/>
      <c r="K32" s="4"/>
      <c r="L32" s="4"/>
      <c r="M32" s="1"/>
    </row>
    <row r="33" spans="1:13" ht="30" customHeight="1">
      <c r="A33" s="1"/>
      <c r="B33" s="29" t="s">
        <v>19</v>
      </c>
      <c r="C33" s="37"/>
      <c r="D33" s="37"/>
      <c r="E33" s="37"/>
      <c r="F33" s="37"/>
      <c r="G33" s="37"/>
      <c r="H33" s="4"/>
      <c r="I33" s="4"/>
      <c r="J33" s="4"/>
      <c r="K33" s="4"/>
      <c r="L33" s="4"/>
      <c r="M33" s="1"/>
    </row>
    <row r="34" spans="1:13" ht="4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24" customHeight="1">
      <c r="A35" s="5"/>
      <c r="B35" s="6" t="s">
        <v>5</v>
      </c>
      <c r="C35" s="6" t="s">
        <v>6</v>
      </c>
      <c r="D35" s="6" t="s">
        <v>7</v>
      </c>
      <c r="E35" s="6" t="s">
        <v>8</v>
      </c>
      <c r="F35" s="6" t="s">
        <v>9</v>
      </c>
      <c r="G35" s="6" t="s">
        <v>10</v>
      </c>
      <c r="H35" s="5"/>
      <c r="I35" s="5"/>
      <c r="J35" s="5"/>
      <c r="K35" s="5"/>
      <c r="L35" s="5"/>
      <c r="M35" s="5"/>
    </row>
    <row r="36" spans="1:13" ht="22.5" customHeight="1">
      <c r="A36" s="1"/>
      <c r="B36" s="7" t="s">
        <v>20</v>
      </c>
      <c r="C36" s="8">
        <v>1500</v>
      </c>
      <c r="D36" s="8">
        <v>1600</v>
      </c>
      <c r="E36" s="8">
        <v>1600</v>
      </c>
      <c r="F36" s="8">
        <v>1700</v>
      </c>
      <c r="G36" s="9">
        <f t="shared" ref="G36:G46" si="4">SUM(C36:F36)</f>
        <v>6400</v>
      </c>
      <c r="H36" s="4"/>
      <c r="I36" s="4"/>
      <c r="J36" s="4"/>
      <c r="K36" s="4"/>
      <c r="L36" s="4"/>
      <c r="M36" s="1"/>
    </row>
    <row r="37" spans="1:13" ht="22.5" customHeight="1">
      <c r="A37" s="1"/>
      <c r="B37" s="10" t="s">
        <v>21</v>
      </c>
      <c r="C37" s="11">
        <v>300</v>
      </c>
      <c r="D37" s="11">
        <v>320</v>
      </c>
      <c r="E37" s="11">
        <v>330</v>
      </c>
      <c r="F37" s="11">
        <v>310</v>
      </c>
      <c r="G37" s="9">
        <f t="shared" si="4"/>
        <v>1260</v>
      </c>
      <c r="H37" s="4"/>
      <c r="I37" s="4"/>
      <c r="J37" s="4"/>
      <c r="K37" s="4"/>
      <c r="L37" s="4"/>
      <c r="M37" s="1"/>
    </row>
    <row r="38" spans="1:13" ht="22.5" customHeight="1">
      <c r="A38" s="1"/>
      <c r="B38" s="10" t="s">
        <v>22</v>
      </c>
      <c r="C38" s="11">
        <v>3000</v>
      </c>
      <c r="D38" s="11">
        <v>3200</v>
      </c>
      <c r="E38" s="11">
        <v>3100</v>
      </c>
      <c r="F38" s="11">
        <v>3300</v>
      </c>
      <c r="G38" s="9">
        <f t="shared" si="4"/>
        <v>12600</v>
      </c>
      <c r="H38" s="4"/>
      <c r="I38" s="4"/>
      <c r="J38" s="4"/>
      <c r="K38" s="4"/>
      <c r="L38" s="4"/>
      <c r="M38" s="1"/>
    </row>
    <row r="39" spans="1:13" ht="22.5" customHeight="1">
      <c r="A39" s="1"/>
      <c r="B39" s="10" t="s">
        <v>23</v>
      </c>
      <c r="C39" s="11">
        <v>800</v>
      </c>
      <c r="D39" s="11">
        <v>900</v>
      </c>
      <c r="E39" s="11">
        <v>850</v>
      </c>
      <c r="F39" s="11">
        <v>950</v>
      </c>
      <c r="G39" s="9">
        <f t="shared" si="4"/>
        <v>3500</v>
      </c>
      <c r="H39" s="4"/>
      <c r="I39" s="4"/>
      <c r="J39" s="4"/>
      <c r="K39" s="4"/>
      <c r="L39" s="4"/>
      <c r="M39" s="1"/>
    </row>
    <row r="40" spans="1:13" ht="22.5" customHeight="1">
      <c r="A40" s="1"/>
      <c r="B40" s="10" t="s">
        <v>24</v>
      </c>
      <c r="C40" s="11">
        <v>200</v>
      </c>
      <c r="D40" s="11">
        <v>220</v>
      </c>
      <c r="E40" s="11">
        <v>210</v>
      </c>
      <c r="F40" s="11">
        <v>230</v>
      </c>
      <c r="G40" s="9">
        <f t="shared" si="4"/>
        <v>860</v>
      </c>
      <c r="H40" s="4"/>
      <c r="I40" s="4"/>
      <c r="J40" s="4"/>
      <c r="K40" s="4"/>
      <c r="L40" s="4"/>
      <c r="M40" s="1"/>
    </row>
    <row r="41" spans="1:13" ht="22.5" customHeight="1">
      <c r="A41" s="1"/>
      <c r="B41" s="10" t="s">
        <v>25</v>
      </c>
      <c r="C41" s="11">
        <v>400</v>
      </c>
      <c r="D41" s="11">
        <v>420</v>
      </c>
      <c r="E41" s="11">
        <v>400</v>
      </c>
      <c r="F41" s="11">
        <v>430</v>
      </c>
      <c r="G41" s="9">
        <f t="shared" si="4"/>
        <v>1650</v>
      </c>
      <c r="H41" s="4"/>
      <c r="I41" s="4"/>
      <c r="J41" s="4"/>
      <c r="K41" s="4"/>
      <c r="L41" s="4"/>
      <c r="M41" s="1"/>
    </row>
    <row r="42" spans="1:13" ht="22.5" customHeight="1">
      <c r="A42" s="1"/>
      <c r="B42" s="10" t="s">
        <v>26</v>
      </c>
      <c r="C42" s="11">
        <v>700</v>
      </c>
      <c r="D42" s="11">
        <v>750</v>
      </c>
      <c r="E42" s="11">
        <v>720</v>
      </c>
      <c r="F42" s="11">
        <v>740</v>
      </c>
      <c r="G42" s="9">
        <f t="shared" si="4"/>
        <v>2910</v>
      </c>
      <c r="H42" s="4"/>
      <c r="I42" s="4"/>
      <c r="J42" s="4"/>
      <c r="K42" s="4"/>
      <c r="L42" s="4"/>
      <c r="M42" s="1"/>
    </row>
    <row r="43" spans="1:13" ht="22.5" customHeight="1">
      <c r="A43" s="1"/>
      <c r="B43" s="10" t="s">
        <v>27</v>
      </c>
      <c r="C43" s="11">
        <v>500</v>
      </c>
      <c r="D43" s="11">
        <v>550</v>
      </c>
      <c r="E43" s="11">
        <v>520</v>
      </c>
      <c r="F43" s="11">
        <v>530</v>
      </c>
      <c r="G43" s="9">
        <f t="shared" si="4"/>
        <v>2100</v>
      </c>
      <c r="H43" s="4"/>
      <c r="I43" s="4"/>
      <c r="J43" s="4"/>
      <c r="K43" s="4"/>
      <c r="L43" s="4"/>
      <c r="M43" s="1"/>
    </row>
    <row r="44" spans="1:13" ht="22.5" customHeight="1">
      <c r="A44" s="1"/>
      <c r="B44" s="10"/>
      <c r="C44" s="11"/>
      <c r="D44" s="11"/>
      <c r="E44" s="11"/>
      <c r="F44" s="11"/>
      <c r="G44" s="9">
        <f t="shared" si="4"/>
        <v>0</v>
      </c>
      <c r="H44" s="4"/>
      <c r="I44" s="4"/>
      <c r="J44" s="4"/>
      <c r="K44" s="4"/>
      <c r="L44" s="4"/>
      <c r="M44" s="1"/>
    </row>
    <row r="45" spans="1:13" ht="22.5" customHeight="1">
      <c r="A45" s="1"/>
      <c r="B45" s="10"/>
      <c r="C45" s="11"/>
      <c r="D45" s="11"/>
      <c r="E45" s="11"/>
      <c r="F45" s="11"/>
      <c r="G45" s="9">
        <f t="shared" si="4"/>
        <v>0</v>
      </c>
      <c r="H45" s="4"/>
      <c r="I45" s="4"/>
      <c r="J45" s="4"/>
      <c r="K45" s="4"/>
      <c r="L45" s="4"/>
      <c r="M45" s="1"/>
    </row>
    <row r="46" spans="1:13" ht="22.5" customHeight="1">
      <c r="A46" s="1"/>
      <c r="B46" s="12"/>
      <c r="C46" s="13"/>
      <c r="D46" s="13"/>
      <c r="E46" s="13"/>
      <c r="F46" s="13"/>
      <c r="G46" s="9">
        <f t="shared" si="4"/>
        <v>0</v>
      </c>
      <c r="H46" s="4"/>
      <c r="I46" s="4"/>
      <c r="J46" s="4"/>
      <c r="K46" s="4"/>
      <c r="L46" s="4"/>
      <c r="M46" s="1"/>
    </row>
    <row r="47" spans="1:13" ht="19.5" customHeight="1">
      <c r="A47" s="1"/>
      <c r="B47" s="14" t="s">
        <v>14</v>
      </c>
      <c r="C47" s="15">
        <f t="shared" ref="C47:G47" si="5">SUM(C36:C46)</f>
        <v>7400</v>
      </c>
      <c r="D47" s="15">
        <f t="shared" si="5"/>
        <v>7960</v>
      </c>
      <c r="E47" s="15">
        <f t="shared" si="5"/>
        <v>7730</v>
      </c>
      <c r="F47" s="15">
        <f t="shared" si="5"/>
        <v>8190</v>
      </c>
      <c r="G47" s="15">
        <f t="shared" si="5"/>
        <v>31280</v>
      </c>
      <c r="H47" s="4"/>
      <c r="I47" s="4"/>
      <c r="J47" s="4"/>
      <c r="K47" s="4"/>
      <c r="L47" s="4"/>
      <c r="M47" s="1"/>
    </row>
    <row r="48" spans="1:13" ht="12.75">
      <c r="A48" s="1"/>
      <c r="B48" s="1"/>
      <c r="C48" s="1"/>
      <c r="D48" s="1"/>
      <c r="E48" s="4"/>
      <c r="F48" s="4"/>
      <c r="G48" s="4"/>
      <c r="H48" s="4"/>
      <c r="I48" s="4"/>
      <c r="J48" s="4"/>
      <c r="K48" s="4"/>
      <c r="L48" s="4"/>
      <c r="M48" s="1"/>
    </row>
    <row r="49" spans="1:13" ht="12.75">
      <c r="A49" s="1"/>
      <c r="B49" s="1"/>
      <c r="C49" s="1"/>
      <c r="D49" s="1"/>
      <c r="E49" s="4"/>
      <c r="F49" s="4"/>
      <c r="G49" s="4"/>
      <c r="H49" s="4"/>
      <c r="I49" s="4"/>
      <c r="J49" s="4"/>
      <c r="K49" s="4"/>
      <c r="L49" s="4"/>
      <c r="M49" s="1"/>
    </row>
    <row r="50" spans="1:13" ht="30" customHeight="1">
      <c r="A50" s="1"/>
      <c r="B50" s="4"/>
      <c r="C50" s="30" t="s">
        <v>28</v>
      </c>
      <c r="D50" s="40"/>
      <c r="E50" s="40"/>
      <c r="G50" s="16" t="s">
        <v>29</v>
      </c>
      <c r="H50" s="16"/>
      <c r="I50" s="16"/>
      <c r="J50" s="16"/>
      <c r="K50" s="16"/>
      <c r="L50" s="16"/>
      <c r="M50" s="1"/>
    </row>
    <row r="51" spans="1:13" ht="4.5" customHeight="1">
      <c r="A51" s="1"/>
      <c r="B51" s="1"/>
      <c r="C51" s="1"/>
      <c r="D51" s="1"/>
      <c r="E51" s="4"/>
      <c r="G51" s="1"/>
      <c r="H51" s="1"/>
      <c r="I51" s="1"/>
      <c r="J51" s="1"/>
      <c r="K51" s="1"/>
      <c r="L51" s="1"/>
      <c r="M51" s="1"/>
    </row>
    <row r="52" spans="1:13" ht="24" customHeight="1">
      <c r="A52" s="5"/>
      <c r="B52" s="5"/>
      <c r="C52" s="5"/>
      <c r="D52" s="5"/>
      <c r="E52" s="5"/>
      <c r="G52" s="17" t="s">
        <v>5</v>
      </c>
      <c r="H52" s="17" t="s">
        <v>6</v>
      </c>
      <c r="I52" s="17" t="s">
        <v>7</v>
      </c>
      <c r="J52" s="17" t="s">
        <v>8</v>
      </c>
      <c r="K52" s="17" t="s">
        <v>9</v>
      </c>
      <c r="L52" s="17" t="s">
        <v>10</v>
      </c>
      <c r="M52" s="5"/>
    </row>
    <row r="53" spans="1:13" ht="22.5" customHeight="1">
      <c r="A53" s="1"/>
      <c r="B53" s="1"/>
      <c r="C53" s="1"/>
      <c r="D53" s="1"/>
      <c r="E53" s="4"/>
      <c r="G53" s="7" t="s">
        <v>30</v>
      </c>
      <c r="H53" s="8">
        <v>300</v>
      </c>
      <c r="I53" s="8">
        <v>310</v>
      </c>
      <c r="J53" s="8">
        <v>320</v>
      </c>
      <c r="K53" s="8">
        <v>290</v>
      </c>
      <c r="L53" s="9">
        <f t="shared" ref="L53:L57" si="6">SUM(H53:K53)</f>
        <v>1220</v>
      </c>
      <c r="M53" s="1"/>
    </row>
    <row r="54" spans="1:13" ht="22.5" customHeight="1">
      <c r="A54" s="1"/>
      <c r="B54" s="1"/>
      <c r="C54" s="1"/>
      <c r="D54" s="1"/>
      <c r="E54" s="4"/>
      <c r="G54" s="10" t="s">
        <v>31</v>
      </c>
      <c r="H54" s="11">
        <v>1200</v>
      </c>
      <c r="I54" s="11">
        <v>1380</v>
      </c>
      <c r="J54" s="11">
        <v>1425</v>
      </c>
      <c r="K54" s="11">
        <v>1320</v>
      </c>
      <c r="L54" s="9">
        <f t="shared" si="6"/>
        <v>5325</v>
      </c>
      <c r="M54" s="1"/>
    </row>
    <row r="55" spans="1:13" ht="22.5" customHeight="1">
      <c r="A55" s="1"/>
      <c r="B55" s="1"/>
      <c r="C55" s="1"/>
      <c r="D55" s="1"/>
      <c r="E55" s="4"/>
      <c r="G55" s="18"/>
      <c r="H55" s="19"/>
      <c r="I55" s="19"/>
      <c r="J55" s="19"/>
      <c r="K55" s="19"/>
      <c r="L55" s="9">
        <f t="shared" si="6"/>
        <v>0</v>
      </c>
      <c r="M55" s="1"/>
    </row>
    <row r="56" spans="1:13" ht="22.5" customHeight="1">
      <c r="A56" s="1"/>
      <c r="B56" s="1"/>
      <c r="C56" s="1"/>
      <c r="D56" s="1"/>
      <c r="E56" s="4"/>
      <c r="G56" s="18"/>
      <c r="H56" s="19"/>
      <c r="I56" s="19"/>
      <c r="J56" s="19"/>
      <c r="K56" s="19"/>
      <c r="L56" s="9">
        <f t="shared" si="6"/>
        <v>0</v>
      </c>
      <c r="M56" s="1"/>
    </row>
    <row r="57" spans="1:13" ht="22.5" customHeight="1">
      <c r="A57" s="1"/>
      <c r="B57" s="1"/>
      <c r="C57" s="1"/>
      <c r="D57" s="1"/>
      <c r="E57" s="4"/>
      <c r="G57" s="20"/>
      <c r="H57" s="21"/>
      <c r="I57" s="21"/>
      <c r="J57" s="21"/>
      <c r="K57" s="21"/>
      <c r="L57" s="9">
        <f t="shared" si="6"/>
        <v>0</v>
      </c>
      <c r="M57" s="1"/>
    </row>
    <row r="58" spans="1:13" ht="19.5" customHeight="1">
      <c r="A58" s="1"/>
      <c r="B58" s="1"/>
      <c r="C58" s="1"/>
      <c r="D58" s="1"/>
      <c r="E58" s="4"/>
      <c r="G58" s="22" t="s">
        <v>14</v>
      </c>
      <c r="H58" s="23">
        <f t="shared" ref="H58:L58" si="7">SUM(H53:H57)</f>
        <v>1500</v>
      </c>
      <c r="I58" s="23">
        <f t="shared" si="7"/>
        <v>1690</v>
      </c>
      <c r="J58" s="23">
        <f t="shared" si="7"/>
        <v>1745</v>
      </c>
      <c r="K58" s="23">
        <f t="shared" si="7"/>
        <v>1610</v>
      </c>
      <c r="L58" s="23">
        <f t="shared" si="7"/>
        <v>6545</v>
      </c>
      <c r="M58" s="1"/>
    </row>
    <row r="59" spans="1:13" ht="12.75">
      <c r="A59" s="1"/>
      <c r="B59" s="1"/>
      <c r="C59" s="1"/>
      <c r="D59" s="1"/>
      <c r="E59" s="4"/>
      <c r="F59" s="1"/>
      <c r="G59" s="1"/>
      <c r="H59" s="1"/>
      <c r="I59" s="1"/>
      <c r="J59" s="1"/>
      <c r="K59" s="1"/>
      <c r="L59" s="1"/>
      <c r="M59" s="1"/>
    </row>
    <row r="60" spans="1:13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8">
      <c r="A61" s="1"/>
      <c r="B61" s="31" t="s">
        <v>32</v>
      </c>
      <c r="C61" s="37"/>
      <c r="D61" s="37"/>
      <c r="E61" s="24" t="s">
        <v>33</v>
      </c>
      <c r="F61" s="1"/>
      <c r="G61" s="1"/>
      <c r="H61" s="1"/>
      <c r="I61" s="1"/>
      <c r="J61" s="1"/>
      <c r="K61" s="1"/>
      <c r="L61" s="1"/>
      <c r="M61" s="1"/>
    </row>
    <row r="62" spans="1:13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</sheetData>
  <mergeCells count="12">
    <mergeCell ref="G21:L21"/>
    <mergeCell ref="B33:G33"/>
    <mergeCell ref="C50:E50"/>
    <mergeCell ref="B61:D61"/>
    <mergeCell ref="B2:F6"/>
    <mergeCell ref="G2:H2"/>
    <mergeCell ref="I2:J2"/>
    <mergeCell ref="K2:L2"/>
    <mergeCell ref="B9:G9"/>
    <mergeCell ref="G3:H5"/>
    <mergeCell ref="I3:J5"/>
    <mergeCell ref="K3:L5"/>
  </mergeCells>
  <hyperlinks>
    <hyperlink ref="B61" r:id="rId1" xr:uid="{00000000-0004-0000-0000-000000000000}"/>
    <hyperlink ref="E61" r:id="rId2" xr:uid="{00000000-0004-0000-0000-000001000000}"/>
  </hyperlinks>
  <printOptions horizontalCentered="1" gridLines="1"/>
  <pageMargins left="0.7" right="0.7" top="0.75" bottom="0.75" header="0" footer="0"/>
  <pageSetup paperSize="9" pageOrder="overThenDown" orientation="portrait" cellComments="atEnd" r:id="rId3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L8"/>
  <sheetViews>
    <sheetView workbookViewId="0"/>
  </sheetViews>
  <sheetFormatPr defaultColWidth="12.5703125" defaultRowHeight="15.75" customHeight="1"/>
  <sheetData>
    <row r="2" spans="2:12">
      <c r="C2" s="25" t="str">
        <f t="array" ref="C2:F2">'Quarterly Income Statement'!C11:F11</f>
        <v>Jan-Mar</v>
      </c>
      <c r="D2" s="25" t="str">
        <v>Apr-Jun</v>
      </c>
      <c r="E2" s="25" t="str">
        <v>Jul-Sep</v>
      </c>
      <c r="F2" s="25" t="str">
        <v>Oct-Dec</v>
      </c>
      <c r="I2" s="25" t="str">
        <f t="array" ref="I2:L2">'Quarterly Income Statement'!H23:K23</f>
        <v>Jan-Mar</v>
      </c>
      <c r="J2" s="25" t="str">
        <v>Apr-Jun</v>
      </c>
      <c r="K2" s="25" t="str">
        <v>Jul-Sep</v>
      </c>
      <c r="L2" s="25" t="str">
        <v>Oct-Dec</v>
      </c>
    </row>
    <row r="3" spans="2:12">
      <c r="B3" s="25" t="str">
        <f t="array" ref="B3:F8">'Quarterly Income Statement'!B12:F17</f>
        <v>Sales Revenue</v>
      </c>
      <c r="C3" s="26">
        <v>10000</v>
      </c>
      <c r="D3" s="27">
        <v>11500</v>
      </c>
      <c r="E3" s="27">
        <v>12000</v>
      </c>
      <c r="F3" s="27">
        <v>11200</v>
      </c>
      <c r="H3" s="25" t="str">
        <f t="array" ref="H3:L8">'Quarterly Income Statement'!G24:K29</f>
        <v>Materials and Supplies</v>
      </c>
      <c r="I3" s="27">
        <v>3000</v>
      </c>
      <c r="J3" s="27">
        <v>3500</v>
      </c>
      <c r="K3" s="27">
        <v>3700</v>
      </c>
      <c r="L3" s="27">
        <v>3300</v>
      </c>
    </row>
    <row r="4" spans="2:12">
      <c r="B4" s="25" t="str">
        <v>Service Revenue</v>
      </c>
      <c r="C4" s="27">
        <v>5000</v>
      </c>
      <c r="D4" s="27">
        <v>6200</v>
      </c>
      <c r="E4" s="27">
        <v>5800</v>
      </c>
      <c r="F4" s="27">
        <v>6500</v>
      </c>
      <c r="H4" s="25" t="str">
        <v>Labor Costs</v>
      </c>
      <c r="I4" s="27">
        <v>2200</v>
      </c>
      <c r="J4" s="27">
        <v>2500</v>
      </c>
      <c r="K4" s="27">
        <v>2800</v>
      </c>
      <c r="L4" s="27">
        <v>2600</v>
      </c>
    </row>
    <row r="5" spans="2:12">
      <c r="B5" s="25" t="str">
        <v>Other Income</v>
      </c>
      <c r="C5" s="27">
        <v>500</v>
      </c>
      <c r="D5" s="27">
        <v>600</v>
      </c>
      <c r="E5" s="27">
        <v>550</v>
      </c>
      <c r="F5" s="27">
        <v>480</v>
      </c>
      <c r="H5" s="25" t="str">
        <v>Other COGS</v>
      </c>
      <c r="I5" s="27">
        <v>300</v>
      </c>
      <c r="J5" s="27">
        <v>400</v>
      </c>
      <c r="K5" s="27">
        <v>350</v>
      </c>
      <c r="L5" s="27">
        <v>380</v>
      </c>
    </row>
    <row r="6" spans="2:12">
      <c r="B6" s="25">
        <v>0</v>
      </c>
      <c r="C6" s="27">
        <v>0</v>
      </c>
      <c r="D6" s="27">
        <v>0</v>
      </c>
      <c r="E6" s="27">
        <v>0</v>
      </c>
      <c r="F6" s="27">
        <v>0</v>
      </c>
      <c r="H6" s="25">
        <v>0</v>
      </c>
      <c r="I6" s="27">
        <v>0</v>
      </c>
      <c r="J6" s="27">
        <v>0</v>
      </c>
      <c r="K6" s="27">
        <v>0</v>
      </c>
      <c r="L6" s="27">
        <v>0</v>
      </c>
    </row>
    <row r="7" spans="2:12">
      <c r="B7" s="25">
        <v>0</v>
      </c>
      <c r="C7" s="27">
        <v>0</v>
      </c>
      <c r="D7" s="27">
        <v>0</v>
      </c>
      <c r="E7" s="27">
        <v>0</v>
      </c>
      <c r="F7" s="27">
        <v>0</v>
      </c>
      <c r="H7" s="25">
        <v>0</v>
      </c>
      <c r="I7" s="27">
        <v>0</v>
      </c>
      <c r="J7" s="27">
        <v>0</v>
      </c>
      <c r="K7" s="27">
        <v>0</v>
      </c>
      <c r="L7" s="27">
        <v>0</v>
      </c>
    </row>
    <row r="8" spans="2:12">
      <c r="B8" s="25">
        <v>0</v>
      </c>
      <c r="C8" s="27">
        <v>0</v>
      </c>
      <c r="D8" s="27">
        <v>0</v>
      </c>
      <c r="E8" s="27">
        <v>0</v>
      </c>
      <c r="F8" s="27">
        <v>0</v>
      </c>
      <c r="H8" s="25">
        <v>0</v>
      </c>
      <c r="I8" s="27">
        <v>0</v>
      </c>
      <c r="J8" s="27">
        <v>0</v>
      </c>
      <c r="K8" s="27">
        <v>0</v>
      </c>
      <c r="L8" s="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Mohsin Khan</cp:lastModifiedBy>
  <cp:revision/>
  <dcterms:created xsi:type="dcterms:W3CDTF">2026-02-27T22:01:06Z</dcterms:created>
  <dcterms:modified xsi:type="dcterms:W3CDTF">2026-02-27T22:01:06Z</dcterms:modified>
  <cp:category/>
  <cp:contentStatus/>
</cp:coreProperties>
</file>
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teeb Shaikh\Downloads\"/>
    </mc:Choice>
  </mc:AlternateContent>
  <bookViews>
    <workbookView xWindow="0" yWindow="0" windowWidth="23040" windowHeight="9072"/>
  </bookViews>
  <sheets>
    <sheet name="Overview" sheetId="1" r:id="rId1"/>
    <sheet name="Inventory List" sheetId="2" r:id="rId2"/>
    <sheet name="Order History" sheetId="3" r:id="rId3"/>
    <sheet name="Supplier Contacts" sheetId="4" r:id="rId4"/>
    <sheet name="Setup" sheetId="5" r:id="rId5"/>
    <sheet name="HELPER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1" l="1" a="1"/>
  <c r="J19" i="1" s="1"/>
  <c r="M102" i="6" l="1"/>
  <c r="L102" i="6"/>
  <c r="K102" i="6"/>
  <c r="J102" i="6"/>
  <c r="M101" i="6"/>
  <c r="L101" i="6"/>
  <c r="K101" i="6"/>
  <c r="J101" i="6"/>
  <c r="M100" i="6"/>
  <c r="L100" i="6"/>
  <c r="K100" i="6"/>
  <c r="J100" i="6"/>
  <c r="M99" i="6"/>
  <c r="L99" i="6"/>
  <c r="K99" i="6"/>
  <c r="J99" i="6"/>
  <c r="M98" i="6"/>
  <c r="L98" i="6"/>
  <c r="K98" i="6"/>
  <c r="J98" i="6"/>
  <c r="M97" i="6"/>
  <c r="L97" i="6"/>
  <c r="K97" i="6"/>
  <c r="J97" i="6"/>
  <c r="M96" i="6"/>
  <c r="L96" i="6"/>
  <c r="K96" i="6"/>
  <c r="J96" i="6"/>
  <c r="M95" i="6"/>
  <c r="L95" i="6"/>
  <c r="K95" i="6"/>
  <c r="J95" i="6"/>
  <c r="M94" i="6"/>
  <c r="L94" i="6"/>
  <c r="K94" i="6"/>
  <c r="J94" i="6"/>
  <c r="M93" i="6"/>
  <c r="L93" i="6"/>
  <c r="K93" i="6"/>
  <c r="J93" i="6"/>
  <c r="M92" i="6"/>
  <c r="L92" i="6"/>
  <c r="K92" i="6"/>
  <c r="J92" i="6"/>
  <c r="M91" i="6"/>
  <c r="L91" i="6"/>
  <c r="K91" i="6"/>
  <c r="J91" i="6"/>
  <c r="M90" i="6"/>
  <c r="L90" i="6"/>
  <c r="K90" i="6"/>
  <c r="J90" i="6"/>
  <c r="M89" i="6"/>
  <c r="L89" i="6"/>
  <c r="K89" i="6"/>
  <c r="J89" i="6"/>
  <c r="M88" i="6"/>
  <c r="L88" i="6"/>
  <c r="K88" i="6"/>
  <c r="J88" i="6"/>
  <c r="M87" i="6"/>
  <c r="L87" i="6"/>
  <c r="K87" i="6"/>
  <c r="J87" i="6"/>
  <c r="M86" i="6"/>
  <c r="L86" i="6"/>
  <c r="K86" i="6"/>
  <c r="J86" i="6"/>
  <c r="M85" i="6"/>
  <c r="L85" i="6"/>
  <c r="K85" i="6"/>
  <c r="J85" i="6"/>
  <c r="M84" i="6"/>
  <c r="L84" i="6"/>
  <c r="K84" i="6"/>
  <c r="J84" i="6"/>
  <c r="M83" i="6"/>
  <c r="L83" i="6"/>
  <c r="K83" i="6"/>
  <c r="J83" i="6"/>
  <c r="M82" i="6"/>
  <c r="L82" i="6"/>
  <c r="K82" i="6"/>
  <c r="J82" i="6"/>
  <c r="M81" i="6"/>
  <c r="L81" i="6"/>
  <c r="K81" i="6"/>
  <c r="J81" i="6"/>
  <c r="M80" i="6"/>
  <c r="L80" i="6"/>
  <c r="K80" i="6"/>
  <c r="J80" i="6"/>
  <c r="M79" i="6"/>
  <c r="L79" i="6"/>
  <c r="K79" i="6"/>
  <c r="J79" i="6"/>
  <c r="M78" i="6"/>
  <c r="L78" i="6"/>
  <c r="K78" i="6"/>
  <c r="J78" i="6"/>
  <c r="M77" i="6"/>
  <c r="L77" i="6"/>
  <c r="K77" i="6"/>
  <c r="J77" i="6"/>
  <c r="M76" i="6"/>
  <c r="L76" i="6"/>
  <c r="K76" i="6"/>
  <c r="J76" i="6"/>
  <c r="M75" i="6"/>
  <c r="L75" i="6"/>
  <c r="K75" i="6"/>
  <c r="J75" i="6"/>
  <c r="M74" i="6"/>
  <c r="L74" i="6"/>
  <c r="K74" i="6"/>
  <c r="J74" i="6"/>
  <c r="M73" i="6"/>
  <c r="L73" i="6"/>
  <c r="K73" i="6"/>
  <c r="J73" i="6"/>
  <c r="M72" i="6"/>
  <c r="L72" i="6"/>
  <c r="K72" i="6"/>
  <c r="J72" i="6"/>
  <c r="M71" i="6"/>
  <c r="L71" i="6"/>
  <c r="K71" i="6"/>
  <c r="J71" i="6"/>
  <c r="M70" i="6"/>
  <c r="L70" i="6"/>
  <c r="K70" i="6"/>
  <c r="J70" i="6"/>
  <c r="M69" i="6"/>
  <c r="L69" i="6"/>
  <c r="K69" i="6"/>
  <c r="J69" i="6"/>
  <c r="M68" i="6"/>
  <c r="L68" i="6"/>
  <c r="K68" i="6"/>
  <c r="J68" i="6"/>
  <c r="M67" i="6"/>
  <c r="L67" i="6"/>
  <c r="K67" i="6"/>
  <c r="J67" i="6"/>
  <c r="M66" i="6"/>
  <c r="L66" i="6"/>
  <c r="K66" i="6"/>
  <c r="J66" i="6"/>
  <c r="M65" i="6"/>
  <c r="L65" i="6"/>
  <c r="K65" i="6"/>
  <c r="J65" i="6"/>
  <c r="M64" i="6"/>
  <c r="L64" i="6"/>
  <c r="K64" i="6"/>
  <c r="J64" i="6"/>
  <c r="M63" i="6"/>
  <c r="L63" i="6"/>
  <c r="K63" i="6"/>
  <c r="J63" i="6"/>
  <c r="M62" i="6"/>
  <c r="L62" i="6"/>
  <c r="K62" i="6"/>
  <c r="J62" i="6"/>
  <c r="M61" i="6"/>
  <c r="L61" i="6"/>
  <c r="K61" i="6"/>
  <c r="J61" i="6"/>
  <c r="M60" i="6"/>
  <c r="L60" i="6"/>
  <c r="K60" i="6"/>
  <c r="J60" i="6"/>
  <c r="M59" i="6"/>
  <c r="L59" i="6"/>
  <c r="K59" i="6"/>
  <c r="J59" i="6"/>
  <c r="M58" i="6"/>
  <c r="L58" i="6"/>
  <c r="K58" i="6"/>
  <c r="J58" i="6"/>
  <c r="M57" i="6"/>
  <c r="L57" i="6"/>
  <c r="K57" i="6"/>
  <c r="J57" i="6"/>
  <c r="M56" i="6"/>
  <c r="L56" i="6"/>
  <c r="K56" i="6"/>
  <c r="J56" i="6"/>
  <c r="M55" i="6"/>
  <c r="L55" i="6"/>
  <c r="K55" i="6"/>
  <c r="J55" i="6"/>
  <c r="M54" i="6"/>
  <c r="L54" i="6"/>
  <c r="K54" i="6"/>
  <c r="J54" i="6"/>
  <c r="M53" i="6"/>
  <c r="L53" i="6"/>
  <c r="K53" i="6"/>
  <c r="J53" i="6"/>
  <c r="M52" i="6"/>
  <c r="L52" i="6"/>
  <c r="K52" i="6"/>
  <c r="J52" i="6"/>
  <c r="M51" i="6"/>
  <c r="L51" i="6"/>
  <c r="K51" i="6"/>
  <c r="J51" i="6"/>
  <c r="M50" i="6"/>
  <c r="L50" i="6"/>
  <c r="K50" i="6"/>
  <c r="J50" i="6"/>
  <c r="M49" i="6"/>
  <c r="L49" i="6"/>
  <c r="K49" i="6"/>
  <c r="J49" i="6"/>
  <c r="M48" i="6"/>
  <c r="L48" i="6"/>
  <c r="K48" i="6"/>
  <c r="J48" i="6"/>
  <c r="M47" i="6"/>
  <c r="L47" i="6"/>
  <c r="K47" i="6"/>
  <c r="J47" i="6"/>
  <c r="M46" i="6"/>
  <c r="L46" i="6"/>
  <c r="K46" i="6"/>
  <c r="J46" i="6"/>
  <c r="M45" i="6"/>
  <c r="L45" i="6"/>
  <c r="K45" i="6"/>
  <c r="J45" i="6"/>
  <c r="M44" i="6"/>
  <c r="L44" i="6"/>
  <c r="K44" i="6"/>
  <c r="J44" i="6"/>
  <c r="M43" i="6"/>
  <c r="L43" i="6"/>
  <c r="K43" i="6"/>
  <c r="J43" i="6"/>
  <c r="M42" i="6"/>
  <c r="L42" i="6"/>
  <c r="K42" i="6"/>
  <c r="J42" i="6"/>
  <c r="M41" i="6"/>
  <c r="L41" i="6"/>
  <c r="K41" i="6"/>
  <c r="J41" i="6"/>
  <c r="M40" i="6"/>
  <c r="L40" i="6"/>
  <c r="K40" i="6"/>
  <c r="J40" i="6"/>
  <c r="M39" i="6"/>
  <c r="L39" i="6"/>
  <c r="K39" i="6"/>
  <c r="J39" i="6"/>
  <c r="M38" i="6"/>
  <c r="L38" i="6"/>
  <c r="K38" i="6"/>
  <c r="J38" i="6"/>
  <c r="M37" i="6"/>
  <c r="L37" i="6"/>
  <c r="K37" i="6"/>
  <c r="J37" i="6"/>
  <c r="M36" i="6"/>
  <c r="L36" i="6"/>
  <c r="K36" i="6"/>
  <c r="J36" i="6"/>
  <c r="M35" i="6"/>
  <c r="L35" i="6"/>
  <c r="K35" i="6"/>
  <c r="J35" i="6"/>
  <c r="M34" i="6"/>
  <c r="L34" i="6"/>
  <c r="K34" i="6"/>
  <c r="J34" i="6"/>
  <c r="M33" i="6"/>
  <c r="L33" i="6"/>
  <c r="K33" i="6"/>
  <c r="J33" i="6"/>
  <c r="M32" i="6"/>
  <c r="L32" i="6"/>
  <c r="K32" i="6"/>
  <c r="J32" i="6"/>
  <c r="M31" i="6"/>
  <c r="L31" i="6"/>
  <c r="K31" i="6"/>
  <c r="J31" i="6"/>
  <c r="M30" i="6"/>
  <c r="L30" i="6"/>
  <c r="K30" i="6"/>
  <c r="J30" i="6"/>
  <c r="M29" i="6"/>
  <c r="L29" i="6"/>
  <c r="K29" i="6"/>
  <c r="J29" i="6"/>
  <c r="M28" i="6"/>
  <c r="L28" i="6"/>
  <c r="K28" i="6"/>
  <c r="J28" i="6"/>
  <c r="M27" i="6"/>
  <c r="L27" i="6"/>
  <c r="K27" i="6"/>
  <c r="J27" i="6"/>
  <c r="M26" i="6"/>
  <c r="L26" i="6"/>
  <c r="K26" i="6"/>
  <c r="J26" i="6"/>
  <c r="M25" i="6"/>
  <c r="L25" i="6"/>
  <c r="K25" i="6"/>
  <c r="J25" i="6"/>
  <c r="M24" i="6"/>
  <c r="L24" i="6"/>
  <c r="K24" i="6"/>
  <c r="J24" i="6"/>
  <c r="M23" i="6"/>
  <c r="L23" i="6"/>
  <c r="K23" i="6"/>
  <c r="J23" i="6"/>
  <c r="M22" i="6"/>
  <c r="L22" i="6"/>
  <c r="K22" i="6"/>
  <c r="J22" i="6"/>
  <c r="M21" i="6"/>
  <c r="L21" i="6"/>
  <c r="K21" i="6"/>
  <c r="J21" i="6"/>
  <c r="M20" i="6"/>
  <c r="L20" i="6"/>
  <c r="K20" i="6"/>
  <c r="J20" i="6"/>
  <c r="U12" i="6"/>
  <c r="U11" i="6"/>
  <c r="U10" i="6"/>
  <c r="U9" i="6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D9" i="1"/>
  <c r="I15" i="6"/>
  <c r="I10" i="6"/>
  <c r="I5" i="6"/>
  <c r="S2" i="6"/>
  <c r="G99" i="5" a="1"/>
  <c r="G91" i="5" a="1"/>
  <c r="G83" i="5" a="1"/>
  <c r="G75" i="5" a="1"/>
  <c r="G67" i="5" a="1"/>
  <c r="G59" i="5" a="1"/>
  <c r="G51" i="5" a="1"/>
  <c r="G43" i="5" a="1"/>
  <c r="G35" i="5" a="1"/>
  <c r="G27" i="5" a="1"/>
  <c r="G19" i="5" a="1"/>
  <c r="I14" i="6"/>
  <c r="F5" i="6"/>
  <c r="I2" i="6"/>
  <c r="G98" i="5" a="1"/>
  <c r="G90" i="5" a="1"/>
  <c r="G82" i="5" a="1"/>
  <c r="G74" i="5" a="1"/>
  <c r="G66" i="5" a="1"/>
  <c r="G58" i="5" a="1"/>
  <c r="G50" i="5" a="1"/>
  <c r="G42" i="5" a="1"/>
  <c r="G34" i="5" a="1"/>
  <c r="G26" i="5" a="1"/>
  <c r="G18" i="5" a="1"/>
  <c r="G10" i="5" a="1"/>
  <c r="I13" i="6"/>
  <c r="I9" i="6"/>
  <c r="S4" i="6"/>
  <c r="F2" i="6"/>
  <c r="G97" i="5" a="1"/>
  <c r="G89" i="5" a="1"/>
  <c r="G81" i="5" a="1"/>
  <c r="G73" i="5" a="1"/>
  <c r="G65" i="5" a="1"/>
  <c r="G57" i="5" a="1"/>
  <c r="G49" i="5" a="1"/>
  <c r="G41" i="5" a="1"/>
  <c r="G33" i="5" a="1"/>
  <c r="G25" i="5" a="1"/>
  <c r="G17" i="5" a="1"/>
  <c r="I8" i="6"/>
  <c r="I4" i="6"/>
  <c r="G104" i="5" a="1"/>
  <c r="G96" i="5" a="1"/>
  <c r="G88" i="5" a="1"/>
  <c r="G80" i="5" a="1"/>
  <c r="G72" i="5" a="1"/>
  <c r="G64" i="5" a="1"/>
  <c r="G56" i="5" a="1"/>
  <c r="G48" i="5" a="1"/>
  <c r="G40" i="5" a="1"/>
  <c r="G32" i="5" a="1"/>
  <c r="G24" i="5" a="1"/>
  <c r="G16" i="5" a="1"/>
  <c r="I19" i="6"/>
  <c r="I12" i="6"/>
  <c r="I7" i="6"/>
  <c r="F4" i="6"/>
  <c r="G103" i="5" a="1"/>
  <c r="G95" i="5" a="1"/>
  <c r="G87" i="5" a="1"/>
  <c r="G79" i="5" a="1"/>
  <c r="G71" i="5" a="1"/>
  <c r="G63" i="5" a="1"/>
  <c r="G55" i="5" a="1"/>
  <c r="G47" i="5" a="1"/>
  <c r="G39" i="5" a="1"/>
  <c r="G31" i="5" a="1"/>
  <c r="G23" i="5" a="1"/>
  <c r="I18" i="6"/>
  <c r="T6" i="6" a="1"/>
  <c r="S3" i="6"/>
  <c r="G102" i="5" a="1"/>
  <c r="G94" i="5" a="1"/>
  <c r="G86" i="5" a="1"/>
  <c r="G78" i="5" a="1"/>
  <c r="G70" i="5" a="1"/>
  <c r="G62" i="5" a="1"/>
  <c r="G54" i="5" a="1"/>
  <c r="G46" i="5" a="1"/>
  <c r="G38" i="5" a="1"/>
  <c r="G30" i="5" a="1"/>
  <c r="G22" i="5" a="1"/>
  <c r="G14" i="5" a="1"/>
  <c r="G6" i="5" a="1"/>
  <c r="G13" i="5" a="1"/>
  <c r="G5" i="5" a="1"/>
  <c r="G12" i="5" a="1"/>
  <c r="G4" i="5" a="1"/>
  <c r="G11" i="5" a="1"/>
  <c r="G9" i="5" a="1"/>
  <c r="G8" i="5" a="1"/>
  <c r="G15" i="5" a="1"/>
  <c r="G7" i="5" a="1"/>
  <c r="I17" i="6"/>
  <c r="I11" i="6"/>
  <c r="I6" i="6"/>
  <c r="I3" i="6"/>
  <c r="G101" i="5" a="1"/>
  <c r="G93" i="5" a="1"/>
  <c r="G85" i="5" a="1"/>
  <c r="G77" i="5" a="1"/>
  <c r="G69" i="5" a="1"/>
  <c r="G61" i="5" a="1"/>
  <c r="G53" i="5" a="1"/>
  <c r="G45" i="5" a="1"/>
  <c r="G37" i="5" a="1"/>
  <c r="G29" i="5" a="1"/>
  <c r="G21" i="5" a="1"/>
  <c r="I16" i="6"/>
  <c r="T5" i="6" a="1"/>
  <c r="F3" i="6"/>
  <c r="G100" i="5" a="1"/>
  <c r="G92" i="5" a="1"/>
  <c r="G84" i="5" a="1"/>
  <c r="G76" i="5" a="1"/>
  <c r="G68" i="5" a="1"/>
  <c r="G60" i="5" a="1"/>
  <c r="G52" i="5" a="1"/>
  <c r="G44" i="5" a="1"/>
  <c r="G36" i="5" a="1"/>
  <c r="G28" i="5" a="1"/>
  <c r="G20" i="5" a="1"/>
  <c r="DA20" i="5" l="1"/>
  <c r="G28" i="5"/>
  <c r="G36" i="5"/>
  <c r="G44" i="5"/>
  <c r="G52" i="5"/>
  <c r="G60" i="5"/>
  <c r="G68" i="5"/>
  <c r="G76" i="5"/>
  <c r="G84" i="5"/>
  <c r="G92" i="5"/>
  <c r="G100" i="5"/>
  <c r="D36" i="1"/>
  <c r="T5" i="6"/>
  <c r="CS21" i="5"/>
  <c r="G29" i="5"/>
  <c r="G37" i="5"/>
  <c r="G45" i="5"/>
  <c r="G53" i="5"/>
  <c r="G61" i="5"/>
  <c r="G69" i="5"/>
  <c r="G77" i="5"/>
  <c r="G85" i="5"/>
  <c r="G93" i="5"/>
  <c r="G101" i="5"/>
  <c r="CX7" i="5"/>
  <c r="DA15" i="5"/>
  <c r="BQ8" i="5"/>
  <c r="CI9" i="5"/>
  <c r="CY11" i="5"/>
  <c r="DB4" i="5"/>
  <c r="CU12" i="5"/>
  <c r="CZ5" i="5"/>
  <c r="CZ13" i="5"/>
  <c r="CM6" i="5"/>
  <c r="DA14" i="5"/>
  <c r="BV22" i="5"/>
  <c r="G30" i="5"/>
  <c r="G38" i="5"/>
  <c r="G46" i="5"/>
  <c r="G54" i="5"/>
  <c r="G62" i="5"/>
  <c r="G70" i="5"/>
  <c r="G78" i="5"/>
  <c r="G86" i="5"/>
  <c r="G94" i="5"/>
  <c r="G102" i="5"/>
  <c r="T6" i="6"/>
  <c r="CQ23" i="5"/>
  <c r="G31" i="5"/>
  <c r="G39" i="5"/>
  <c r="G47" i="5"/>
  <c r="G55" i="5"/>
  <c r="G63" i="5"/>
  <c r="G71" i="5"/>
  <c r="G79" i="5"/>
  <c r="G87" i="5"/>
  <c r="G95" i="5"/>
  <c r="G103" i="5"/>
  <c r="D38" i="1"/>
  <c r="BO16" i="5"/>
  <c r="G24" i="5"/>
  <c r="G32" i="5"/>
  <c r="G40" i="5"/>
  <c r="G48" i="5"/>
  <c r="G56" i="5"/>
  <c r="G64" i="5"/>
  <c r="G72" i="5"/>
  <c r="G80" i="5"/>
  <c r="G88" i="5"/>
  <c r="G96" i="5"/>
  <c r="G104" i="5"/>
  <c r="CY17" i="5"/>
  <c r="G25" i="5"/>
  <c r="G33" i="5"/>
  <c r="G41" i="5"/>
  <c r="G49" i="5"/>
  <c r="G57" i="5"/>
  <c r="G65" i="5"/>
  <c r="G73" i="5"/>
  <c r="G81" i="5"/>
  <c r="G89" i="5"/>
  <c r="G97" i="5"/>
  <c r="D34" i="1"/>
  <c r="CD18" i="5"/>
  <c r="G26" i="5"/>
  <c r="G34" i="5"/>
  <c r="G42" i="5"/>
  <c r="G50" i="5"/>
  <c r="G58" i="5"/>
  <c r="G66" i="5"/>
  <c r="G74" i="5"/>
  <c r="G82" i="5"/>
  <c r="G90" i="5"/>
  <c r="G98" i="5"/>
  <c r="D40" i="1"/>
  <c r="CS19" i="5"/>
  <c r="G27" i="5"/>
  <c r="G35" i="5"/>
  <c r="G43" i="5"/>
  <c r="G51" i="5"/>
  <c r="G59" i="5"/>
  <c r="G67" i="5"/>
  <c r="G75" i="5"/>
  <c r="G83" i="5"/>
  <c r="G91" i="5"/>
  <c r="G99" i="5"/>
  <c r="Q7" i="1" a="1"/>
  <c r="Q11" i="1" s="1"/>
  <c r="Q9" i="1"/>
  <c r="Q8" i="1"/>
  <c r="I5" i="5"/>
  <c r="BI5" i="5"/>
  <c r="T17" i="5"/>
  <c r="F18" i="1"/>
  <c r="M5" i="5"/>
  <c r="BU5" i="5"/>
  <c r="AO5" i="5"/>
  <c r="CS5" i="5"/>
  <c r="AG5" i="5"/>
  <c r="CO5" i="5"/>
  <c r="Q5" i="5"/>
  <c r="AW5" i="5"/>
  <c r="BY5" i="5"/>
  <c r="DA5" i="5"/>
  <c r="BI12" i="5"/>
  <c r="AV17" i="5"/>
  <c r="AJ19" i="5"/>
  <c r="AC5" i="5"/>
  <c r="BE5" i="5"/>
  <c r="CC5" i="5"/>
  <c r="BY16" i="5"/>
  <c r="BW17" i="5"/>
  <c r="BZ19" i="5"/>
  <c r="CY18" i="5"/>
  <c r="BT12" i="5"/>
  <c r="AE17" i="5"/>
  <c r="CD17" i="5"/>
  <c r="S12" i="5"/>
  <c r="CZ12" i="5"/>
  <c r="K17" i="5"/>
  <c r="AH17" i="5"/>
  <c r="BG17" i="5"/>
  <c r="CR17" i="5"/>
  <c r="AU18" i="5"/>
  <c r="N19" i="5"/>
  <c r="BE19" i="5"/>
  <c r="CV19" i="5"/>
  <c r="BB17" i="5"/>
  <c r="R18" i="5"/>
  <c r="AT19" i="5"/>
  <c r="CK19" i="5"/>
  <c r="F24" i="1"/>
  <c r="F20" i="1"/>
  <c r="F26" i="1"/>
  <c r="Y5" i="5"/>
  <c r="AS5" i="5"/>
  <c r="BM5" i="5"/>
  <c r="CK5" i="5"/>
  <c r="AC12" i="5"/>
  <c r="AI16" i="5"/>
  <c r="P17" i="5"/>
  <c r="AM17" i="5"/>
  <c r="BP17" i="5"/>
  <c r="BW18" i="5"/>
  <c r="Y19" i="5"/>
  <c r="BP19" i="5"/>
  <c r="J4" i="5"/>
  <c r="AH4" i="5"/>
  <c r="BB4" i="5"/>
  <c r="BV4" i="5"/>
  <c r="CT4" i="5"/>
  <c r="H6" i="5"/>
  <c r="T6" i="5"/>
  <c r="AC6" i="5"/>
  <c r="AN6" i="5"/>
  <c r="AZ6" i="5"/>
  <c r="BI6" i="5"/>
  <c r="BT6" i="5"/>
  <c r="CH6" i="5"/>
  <c r="CT6" i="5"/>
  <c r="H7" i="5"/>
  <c r="AB7" i="5"/>
  <c r="AW7" i="5"/>
  <c r="BR7" i="5"/>
  <c r="CN7" i="5"/>
  <c r="AA8" i="5"/>
  <c r="R4" i="5"/>
  <c r="AL4" i="5"/>
  <c r="BF4" i="5"/>
  <c r="CD4" i="5"/>
  <c r="CX4" i="5"/>
  <c r="L6" i="5"/>
  <c r="U6" i="5"/>
  <c r="AF6" i="5"/>
  <c r="AR6" i="5"/>
  <c r="BA6" i="5"/>
  <c r="BL6" i="5"/>
  <c r="BX6" i="5"/>
  <c r="CI6" i="5"/>
  <c r="CX6" i="5"/>
  <c r="L7" i="5"/>
  <c r="AG7" i="5"/>
  <c r="BB7" i="5"/>
  <c r="BX7" i="5"/>
  <c r="CS7" i="5"/>
  <c r="AV8" i="5"/>
  <c r="G4" i="5"/>
  <c r="V4" i="5"/>
  <c r="AP4" i="5"/>
  <c r="BN4" i="5"/>
  <c r="CH4" i="5"/>
  <c r="M6" i="5"/>
  <c r="X6" i="5"/>
  <c r="AJ6" i="5"/>
  <c r="AS6" i="5"/>
  <c r="BD6" i="5"/>
  <c r="BP6" i="5"/>
  <c r="BY6" i="5"/>
  <c r="G7" i="5"/>
  <c r="Q7" i="5"/>
  <c r="AL7" i="5"/>
  <c r="BH7" i="5"/>
  <c r="CC7" i="5"/>
  <c r="DA4" i="5"/>
  <c r="CP4" i="5"/>
  <c r="BZ4" i="5"/>
  <c r="BJ4" i="5"/>
  <c r="AT4" i="5"/>
  <c r="AD4" i="5"/>
  <c r="N4" i="5"/>
  <c r="Z4" i="5"/>
  <c r="AX4" i="5"/>
  <c r="BR4" i="5"/>
  <c r="CL4" i="5"/>
  <c r="DA6" i="5"/>
  <c r="CY6" i="5"/>
  <c r="CO6" i="5"/>
  <c r="CD6" i="5"/>
  <c r="BU6" i="5"/>
  <c r="BM6" i="5"/>
  <c r="BE6" i="5"/>
  <c r="AW6" i="5"/>
  <c r="AO6" i="5"/>
  <c r="AG6" i="5"/>
  <c r="Y6" i="5"/>
  <c r="Q6" i="5"/>
  <c r="I6" i="5"/>
  <c r="P6" i="5"/>
  <c r="AB6" i="5"/>
  <c r="AK6" i="5"/>
  <c r="AV6" i="5"/>
  <c r="BH6" i="5"/>
  <c r="BQ6" i="5"/>
  <c r="CC6" i="5"/>
  <c r="CS6" i="5"/>
  <c r="CY7" i="5"/>
  <c r="CZ7" i="5"/>
  <c r="CT7" i="5"/>
  <c r="CO7" i="5"/>
  <c r="CJ7" i="5"/>
  <c r="CD7" i="5"/>
  <c r="BY7" i="5"/>
  <c r="BT7" i="5"/>
  <c r="BN7" i="5"/>
  <c r="BI7" i="5"/>
  <c r="BD7" i="5"/>
  <c r="AX7" i="5"/>
  <c r="AS7" i="5"/>
  <c r="AN7" i="5"/>
  <c r="AH7" i="5"/>
  <c r="AC7" i="5"/>
  <c r="X7" i="5"/>
  <c r="R7" i="5"/>
  <c r="M7" i="5"/>
  <c r="DB7" i="5"/>
  <c r="CW7" i="5"/>
  <c r="CR7" i="5"/>
  <c r="CL7" i="5"/>
  <c r="CG7" i="5"/>
  <c r="CB7" i="5"/>
  <c r="BV7" i="5"/>
  <c r="BQ7" i="5"/>
  <c r="BL7" i="5"/>
  <c r="BF7" i="5"/>
  <c r="BA7" i="5"/>
  <c r="AV7" i="5"/>
  <c r="AP7" i="5"/>
  <c r="AK7" i="5"/>
  <c r="AF7" i="5"/>
  <c r="Z7" i="5"/>
  <c r="U7" i="5"/>
  <c r="P7" i="5"/>
  <c r="J7" i="5"/>
  <c r="DA7" i="5"/>
  <c r="CV7" i="5"/>
  <c r="CP7" i="5"/>
  <c r="CK7" i="5"/>
  <c r="CF7" i="5"/>
  <c r="BZ7" i="5"/>
  <c r="BU7" i="5"/>
  <c r="BP7" i="5"/>
  <c r="BJ7" i="5"/>
  <c r="BE7" i="5"/>
  <c r="AZ7" i="5"/>
  <c r="AT7" i="5"/>
  <c r="AO7" i="5"/>
  <c r="AJ7" i="5"/>
  <c r="AD7" i="5"/>
  <c r="Y7" i="5"/>
  <c r="T7" i="5"/>
  <c r="N7" i="5"/>
  <c r="I7" i="5"/>
  <c r="V7" i="5"/>
  <c r="AR7" i="5"/>
  <c r="BM7" i="5"/>
  <c r="CH7" i="5"/>
  <c r="CR8" i="5"/>
  <c r="BW8" i="5"/>
  <c r="BA8" i="5"/>
  <c r="AF8" i="5"/>
  <c r="K8" i="5"/>
  <c r="CG8" i="5"/>
  <c r="BL8" i="5"/>
  <c r="AQ8" i="5"/>
  <c r="U8" i="5"/>
  <c r="CW8" i="5"/>
  <c r="CB8" i="5"/>
  <c r="BG8" i="5"/>
  <c r="AK8" i="5"/>
  <c r="P8" i="5"/>
  <c r="CM8" i="5"/>
  <c r="U5" i="5"/>
  <c r="AK5" i="5"/>
  <c r="BA5" i="5"/>
  <c r="BQ5" i="5"/>
  <c r="CG5" i="5"/>
  <c r="CW5" i="5"/>
  <c r="P9" i="5"/>
  <c r="BC9" i="5"/>
  <c r="CT9" i="5"/>
  <c r="H11" i="5"/>
  <c r="M11" i="5"/>
  <c r="R11" i="5"/>
  <c r="X11" i="5"/>
  <c r="AC11" i="5"/>
  <c r="AH11" i="5"/>
  <c r="AN11" i="5"/>
  <c r="AS11" i="5"/>
  <c r="AX11" i="5"/>
  <c r="BD11" i="5"/>
  <c r="BI11" i="5"/>
  <c r="BN11" i="5"/>
  <c r="BT11" i="5"/>
  <c r="BY11" i="5"/>
  <c r="CD11" i="5"/>
  <c r="CJ11" i="5"/>
  <c r="CO11" i="5"/>
  <c r="CT11" i="5"/>
  <c r="CZ11" i="5"/>
  <c r="H12" i="5"/>
  <c r="AY12" i="5"/>
  <c r="CO12" i="5"/>
  <c r="N13" i="5"/>
  <c r="AI13" i="5"/>
  <c r="BD13" i="5"/>
  <c r="CA13" i="5"/>
  <c r="I15" i="5"/>
  <c r="N15" i="5"/>
  <c r="T15" i="5"/>
  <c r="Y15" i="5"/>
  <c r="AD15" i="5"/>
  <c r="AJ15" i="5"/>
  <c r="AO15" i="5"/>
  <c r="AW15" i="5"/>
  <c r="BH15" i="5"/>
  <c r="BR15" i="5"/>
  <c r="CC15" i="5"/>
  <c r="CN15" i="5"/>
  <c r="CX15" i="5"/>
  <c r="X16" i="5"/>
  <c r="DB17" i="5"/>
  <c r="CM17" i="5"/>
  <c r="BX17" i="5"/>
  <c r="BN17" i="5"/>
  <c r="BC17" i="5"/>
  <c r="AU17" i="5"/>
  <c r="AL17" i="5"/>
  <c r="AA17" i="5"/>
  <c r="R17" i="5"/>
  <c r="J17" i="5"/>
  <c r="CT17" i="5"/>
  <c r="CF17" i="5"/>
  <c r="BR17" i="5"/>
  <c r="BH17" i="5"/>
  <c r="AZ17" i="5"/>
  <c r="AP17" i="5"/>
  <c r="AF17" i="5"/>
  <c r="W17" i="5"/>
  <c r="L17" i="5"/>
  <c r="G17" i="5"/>
  <c r="Z17" i="5"/>
  <c r="AR17" i="5"/>
  <c r="BK17" i="5"/>
  <c r="CL17" i="5"/>
  <c r="K18" i="5"/>
  <c r="AM18" i="5"/>
  <c r="BQ18" i="5"/>
  <c r="CS18" i="5"/>
  <c r="L19" i="5"/>
  <c r="V19" i="5"/>
  <c r="AG19" i="5"/>
  <c r="AR19" i="5"/>
  <c r="BB19" i="5"/>
  <c r="BM19" i="5"/>
  <c r="BX19" i="5"/>
  <c r="CH19" i="5"/>
  <c r="AO21" i="5"/>
  <c r="AH22" i="5"/>
  <c r="G9" i="5"/>
  <c r="W9" i="5"/>
  <c r="BN9" i="5"/>
  <c r="I11" i="5"/>
  <c r="N11" i="5"/>
  <c r="T11" i="5"/>
  <c r="Y11" i="5"/>
  <c r="AD11" i="5"/>
  <c r="AJ11" i="5"/>
  <c r="AO11" i="5"/>
  <c r="AT11" i="5"/>
  <c r="AZ11" i="5"/>
  <c r="BE11" i="5"/>
  <c r="BJ11" i="5"/>
  <c r="BP11" i="5"/>
  <c r="BU11" i="5"/>
  <c r="BZ11" i="5"/>
  <c r="CF11" i="5"/>
  <c r="CK11" i="5"/>
  <c r="CP11" i="5"/>
  <c r="CV11" i="5"/>
  <c r="DA11" i="5"/>
  <c r="S13" i="5"/>
  <c r="AN13" i="5"/>
  <c r="BJ13" i="5"/>
  <c r="CI13" i="5"/>
  <c r="G15" i="5"/>
  <c r="J15" i="5"/>
  <c r="P15" i="5"/>
  <c r="U15" i="5"/>
  <c r="Z15" i="5"/>
  <c r="AF15" i="5"/>
  <c r="AK15" i="5"/>
  <c r="AP15" i="5"/>
  <c r="AZ15" i="5"/>
  <c r="BJ15" i="5"/>
  <c r="BU15" i="5"/>
  <c r="CF15" i="5"/>
  <c r="CP15" i="5"/>
  <c r="CR21" i="5"/>
  <c r="CC21" i="5"/>
  <c r="BP21" i="5"/>
  <c r="BA21" i="5"/>
  <c r="AM21" i="5"/>
  <c r="Z21" i="5"/>
  <c r="O21" i="5"/>
  <c r="G21" i="5"/>
  <c r="DA21" i="5"/>
  <c r="CM21" i="5"/>
  <c r="BX21" i="5"/>
  <c r="BK21" i="5"/>
  <c r="AV21" i="5"/>
  <c r="AG21" i="5"/>
  <c r="V21" i="5"/>
  <c r="K21" i="5"/>
  <c r="CY21" i="5"/>
  <c r="CK21" i="5"/>
  <c r="BW21" i="5"/>
  <c r="BH21" i="5"/>
  <c r="AU21" i="5"/>
  <c r="AF21" i="5"/>
  <c r="T21" i="5"/>
  <c r="J21" i="5"/>
  <c r="BC21" i="5"/>
  <c r="CT22" i="5"/>
  <c r="CL22" i="5"/>
  <c r="CB22" i="5"/>
  <c r="BR22" i="5"/>
  <c r="BH22" i="5"/>
  <c r="AZ22" i="5"/>
  <c r="AP22" i="5"/>
  <c r="AF22" i="5"/>
  <c r="W22" i="5"/>
  <c r="L22" i="5"/>
  <c r="G22" i="5"/>
  <c r="DB22" i="5"/>
  <c r="CR22" i="5"/>
  <c r="CI22" i="5"/>
  <c r="BX22" i="5"/>
  <c r="BP22" i="5"/>
  <c r="BG22" i="5"/>
  <c r="AV22" i="5"/>
  <c r="AM22" i="5"/>
  <c r="AE22" i="5"/>
  <c r="T22" i="5"/>
  <c r="K22" i="5"/>
  <c r="CY22" i="5"/>
  <c r="CQ22" i="5"/>
  <c r="CF22" i="5"/>
  <c r="BW22" i="5"/>
  <c r="BN22" i="5"/>
  <c r="BC22" i="5"/>
  <c r="AU22" i="5"/>
  <c r="AL22" i="5"/>
  <c r="AA22" i="5"/>
  <c r="R22" i="5"/>
  <c r="J22" i="5"/>
  <c r="AR22" i="5"/>
  <c r="CD22" i="5"/>
  <c r="AH9" i="5"/>
  <c r="BX9" i="5"/>
  <c r="G11" i="5"/>
  <c r="J11" i="5"/>
  <c r="P11" i="5"/>
  <c r="U11" i="5"/>
  <c r="Z11" i="5"/>
  <c r="AF11" i="5"/>
  <c r="AK11" i="5"/>
  <c r="AP11" i="5"/>
  <c r="AV11" i="5"/>
  <c r="BA11" i="5"/>
  <c r="BF11" i="5"/>
  <c r="BL11" i="5"/>
  <c r="BQ11" i="5"/>
  <c r="BV11" i="5"/>
  <c r="CB11" i="5"/>
  <c r="CG11" i="5"/>
  <c r="CL11" i="5"/>
  <c r="CR11" i="5"/>
  <c r="CW11" i="5"/>
  <c r="DB11" i="5"/>
  <c r="X13" i="5"/>
  <c r="AT13" i="5"/>
  <c r="BO13" i="5"/>
  <c r="CP13" i="5"/>
  <c r="CY15" i="5"/>
  <c r="CZ15" i="5"/>
  <c r="CT15" i="5"/>
  <c r="CO15" i="5"/>
  <c r="CJ15" i="5"/>
  <c r="CD15" i="5"/>
  <c r="BY15" i="5"/>
  <c r="BT15" i="5"/>
  <c r="BN15" i="5"/>
  <c r="BI15" i="5"/>
  <c r="BD15" i="5"/>
  <c r="AX15" i="5"/>
  <c r="AS15" i="5"/>
  <c r="DB15" i="5"/>
  <c r="CW15" i="5"/>
  <c r="CR15" i="5"/>
  <c r="CL15" i="5"/>
  <c r="CG15" i="5"/>
  <c r="CB15" i="5"/>
  <c r="BV15" i="5"/>
  <c r="BQ15" i="5"/>
  <c r="BL15" i="5"/>
  <c r="BF15" i="5"/>
  <c r="BA15" i="5"/>
  <c r="AV15" i="5"/>
  <c r="L15" i="5"/>
  <c r="Q15" i="5"/>
  <c r="V15" i="5"/>
  <c r="AB15" i="5"/>
  <c r="AG15" i="5"/>
  <c r="AL15" i="5"/>
  <c r="AR15" i="5"/>
  <c r="BB15" i="5"/>
  <c r="BM15" i="5"/>
  <c r="BX15" i="5"/>
  <c r="CH15" i="5"/>
  <c r="CS15" i="5"/>
  <c r="CW16" i="5"/>
  <c r="CS16" i="5"/>
  <c r="BT16" i="5"/>
  <c r="AY16" i="5"/>
  <c r="AC16" i="5"/>
  <c r="H16" i="5"/>
  <c r="CF16" i="5"/>
  <c r="BI16" i="5"/>
  <c r="AN16" i="5"/>
  <c r="S16" i="5"/>
  <c r="AS16" i="5"/>
  <c r="CM16" i="5"/>
  <c r="Z18" i="5"/>
  <c r="BB18" i="5"/>
  <c r="CY19" i="5"/>
  <c r="CZ19" i="5"/>
  <c r="CT19" i="5"/>
  <c r="CO19" i="5"/>
  <c r="CJ19" i="5"/>
  <c r="CD19" i="5"/>
  <c r="BY19" i="5"/>
  <c r="BT19" i="5"/>
  <c r="BN19" i="5"/>
  <c r="BI19" i="5"/>
  <c r="BD19" i="5"/>
  <c r="AX19" i="5"/>
  <c r="AS19" i="5"/>
  <c r="AN19" i="5"/>
  <c r="AH19" i="5"/>
  <c r="AC19" i="5"/>
  <c r="X19" i="5"/>
  <c r="R19" i="5"/>
  <c r="M19" i="5"/>
  <c r="H19" i="5"/>
  <c r="DB19" i="5"/>
  <c r="CW19" i="5"/>
  <c r="CR19" i="5"/>
  <c r="CL19" i="5"/>
  <c r="CG19" i="5"/>
  <c r="CB19" i="5"/>
  <c r="BV19" i="5"/>
  <c r="BQ19" i="5"/>
  <c r="BL19" i="5"/>
  <c r="BF19" i="5"/>
  <c r="BA19" i="5"/>
  <c r="AV19" i="5"/>
  <c r="AP19" i="5"/>
  <c r="AK19" i="5"/>
  <c r="AF19" i="5"/>
  <c r="Z19" i="5"/>
  <c r="U19" i="5"/>
  <c r="P19" i="5"/>
  <c r="J19" i="5"/>
  <c r="G19" i="5"/>
  <c r="Q19" i="5"/>
  <c r="AB19" i="5"/>
  <c r="AL19" i="5"/>
  <c r="AW19" i="5"/>
  <c r="BH19" i="5"/>
  <c r="BR19" i="5"/>
  <c r="CC19" i="5"/>
  <c r="CN19" i="5"/>
  <c r="CX19" i="5"/>
  <c r="P21" i="5"/>
  <c r="BQ21" i="5"/>
  <c r="P22" i="5"/>
  <c r="BB22" i="5"/>
  <c r="CM22" i="5"/>
  <c r="K9" i="5"/>
  <c r="AR9" i="5"/>
  <c r="L11" i="5"/>
  <c r="Q11" i="5"/>
  <c r="V11" i="5"/>
  <c r="AB11" i="5"/>
  <c r="AG11" i="5"/>
  <c r="AL11" i="5"/>
  <c r="AR11" i="5"/>
  <c r="AW11" i="5"/>
  <c r="BB11" i="5"/>
  <c r="BH11" i="5"/>
  <c r="BM11" i="5"/>
  <c r="BR11" i="5"/>
  <c r="BX11" i="5"/>
  <c r="CC11" i="5"/>
  <c r="CH11" i="5"/>
  <c r="CN11" i="5"/>
  <c r="CS11" i="5"/>
  <c r="CX11" i="5"/>
  <c r="AN12" i="5"/>
  <c r="CE12" i="5"/>
  <c r="H13" i="5"/>
  <c r="AD13" i="5"/>
  <c r="AY13" i="5"/>
  <c r="BT13" i="5"/>
  <c r="CV13" i="5"/>
  <c r="H15" i="5"/>
  <c r="M15" i="5"/>
  <c r="R15" i="5"/>
  <c r="X15" i="5"/>
  <c r="AC15" i="5"/>
  <c r="AH15" i="5"/>
  <c r="AN15" i="5"/>
  <c r="AT15" i="5"/>
  <c r="BE15" i="5"/>
  <c r="BP15" i="5"/>
  <c r="BZ15" i="5"/>
  <c r="CK15" i="5"/>
  <c r="CV15" i="5"/>
  <c r="M16" i="5"/>
  <c r="BD16" i="5"/>
  <c r="DA16" i="5"/>
  <c r="DB18" i="5"/>
  <c r="CX18" i="5"/>
  <c r="CI18" i="5"/>
  <c r="BV18" i="5"/>
  <c r="BG18" i="5"/>
  <c r="AS18" i="5"/>
  <c r="AE18" i="5"/>
  <c r="Q18" i="5"/>
  <c r="CQ18" i="5"/>
  <c r="CC18" i="5"/>
  <c r="BN18" i="5"/>
  <c r="BA18" i="5"/>
  <c r="AL18" i="5"/>
  <c r="W18" i="5"/>
  <c r="J18" i="5"/>
  <c r="AG18" i="5"/>
  <c r="BI18" i="5"/>
  <c r="CL18" i="5"/>
  <c r="I19" i="5"/>
  <c r="T19" i="5"/>
  <c r="AD19" i="5"/>
  <c r="AO19" i="5"/>
  <c r="AZ19" i="5"/>
  <c r="BJ19" i="5"/>
  <c r="BU19" i="5"/>
  <c r="CF19" i="5"/>
  <c r="CP19" i="5"/>
  <c r="DA19" i="5"/>
  <c r="AA21" i="5"/>
  <c r="CF21" i="5"/>
  <c r="Z22" i="5"/>
  <c r="BK22" i="5"/>
  <c r="CX22" i="5"/>
  <c r="J23" i="5"/>
  <c r="U23" i="5"/>
  <c r="AE23" i="5"/>
  <c r="AQ23" i="5"/>
  <c r="BF23" i="5"/>
  <c r="BS23" i="5"/>
  <c r="CH23" i="5"/>
  <c r="CV23" i="5"/>
  <c r="K23" i="5"/>
  <c r="V23" i="5"/>
  <c r="AG23" i="5"/>
  <c r="AR23" i="5"/>
  <c r="BG23" i="5"/>
  <c r="BV23" i="5"/>
  <c r="CI23" i="5"/>
  <c r="CX23" i="5"/>
  <c r="G23" i="5"/>
  <c r="O23" i="5"/>
  <c r="Z23" i="5"/>
  <c r="AK23" i="5"/>
  <c r="AX23" i="5"/>
  <c r="BL23" i="5"/>
  <c r="CA23" i="5"/>
  <c r="CN23" i="5"/>
  <c r="Q23" i="5"/>
  <c r="AA23" i="5"/>
  <c r="AL23" i="5"/>
  <c r="AZ23" i="5"/>
  <c r="BN23" i="5"/>
  <c r="CB23" i="5"/>
  <c r="F22" i="1"/>
  <c r="CZ10" i="5"/>
  <c r="CV10" i="5"/>
  <c r="CR10" i="5"/>
  <c r="CN10" i="5"/>
  <c r="CJ10" i="5"/>
  <c r="CF10" i="5"/>
  <c r="CB10" i="5"/>
  <c r="BX10" i="5"/>
  <c r="BT10" i="5"/>
  <c r="BP10" i="5"/>
  <c r="BL10" i="5"/>
  <c r="BH10" i="5"/>
  <c r="BD10" i="5"/>
  <c r="AZ10" i="5"/>
  <c r="AV10" i="5"/>
  <c r="AR10" i="5"/>
  <c r="AN10" i="5"/>
  <c r="AJ10" i="5"/>
  <c r="AF10" i="5"/>
  <c r="AB10" i="5"/>
  <c r="X10" i="5"/>
  <c r="T10" i="5"/>
  <c r="P10" i="5"/>
  <c r="L10" i="5"/>
  <c r="H10" i="5"/>
  <c r="CX10" i="5"/>
  <c r="CS10" i="5"/>
  <c r="CM10" i="5"/>
  <c r="CH10" i="5"/>
  <c r="CC10" i="5"/>
  <c r="BW10" i="5"/>
  <c r="BR10" i="5"/>
  <c r="BM10" i="5"/>
  <c r="BG10" i="5"/>
  <c r="BB10" i="5"/>
  <c r="AW10" i="5"/>
  <c r="AQ10" i="5"/>
  <c r="AL10" i="5"/>
  <c r="AG10" i="5"/>
  <c r="AA10" i="5"/>
  <c r="V10" i="5"/>
  <c r="Q10" i="5"/>
  <c r="K10" i="5"/>
  <c r="G10" i="5"/>
  <c r="DB10" i="5"/>
  <c r="CW10" i="5"/>
  <c r="CQ10" i="5"/>
  <c r="CL10" i="5"/>
  <c r="CG10" i="5"/>
  <c r="CA10" i="5"/>
  <c r="BV10" i="5"/>
  <c r="BQ10" i="5"/>
  <c r="BK10" i="5"/>
  <c r="BF10" i="5"/>
  <c r="BA10" i="5"/>
  <c r="AU10" i="5"/>
  <c r="AP10" i="5"/>
  <c r="AK10" i="5"/>
  <c r="AE10" i="5"/>
  <c r="Z10" i="5"/>
  <c r="U10" i="5"/>
  <c r="O10" i="5"/>
  <c r="J10" i="5"/>
  <c r="R10" i="5"/>
  <c r="AC10" i="5"/>
  <c r="AM10" i="5"/>
  <c r="AX10" i="5"/>
  <c r="BI10" i="5"/>
  <c r="BS10" i="5"/>
  <c r="CD10" i="5"/>
  <c r="CO10" i="5"/>
  <c r="CY10" i="5"/>
  <c r="K4" i="5"/>
  <c r="O4" i="5"/>
  <c r="S4" i="5"/>
  <c r="W4" i="5"/>
  <c r="AA4" i="5"/>
  <c r="AE4" i="5"/>
  <c r="AI4" i="5"/>
  <c r="AM4" i="5"/>
  <c r="AQ4" i="5"/>
  <c r="AU4" i="5"/>
  <c r="AY4" i="5"/>
  <c r="BC4" i="5"/>
  <c r="BG4" i="5"/>
  <c r="BK4" i="5"/>
  <c r="BO4" i="5"/>
  <c r="BS4" i="5"/>
  <c r="BW4" i="5"/>
  <c r="CA4" i="5"/>
  <c r="CE4" i="5"/>
  <c r="CI4" i="5"/>
  <c r="CM4" i="5"/>
  <c r="CQ4" i="5"/>
  <c r="CU4" i="5"/>
  <c r="CY4" i="5"/>
  <c r="G5" i="5"/>
  <c r="J5" i="5"/>
  <c r="N5" i="5"/>
  <c r="R5" i="5"/>
  <c r="V5" i="5"/>
  <c r="Z5" i="5"/>
  <c r="AD5" i="5"/>
  <c r="AH5" i="5"/>
  <c r="AL5" i="5"/>
  <c r="AP5" i="5"/>
  <c r="AT5" i="5"/>
  <c r="AX5" i="5"/>
  <c r="BB5" i="5"/>
  <c r="BF5" i="5"/>
  <c r="BJ5" i="5"/>
  <c r="BN5" i="5"/>
  <c r="BR5" i="5"/>
  <c r="BV5" i="5"/>
  <c r="BZ5" i="5"/>
  <c r="CD5" i="5"/>
  <c r="CH5" i="5"/>
  <c r="CL5" i="5"/>
  <c r="CP5" i="5"/>
  <c r="CT5" i="5"/>
  <c r="CX5" i="5"/>
  <c r="DB5" i="5"/>
  <c r="DB8" i="5"/>
  <c r="CX8" i="5"/>
  <c r="CT8" i="5"/>
  <c r="CP8" i="5"/>
  <c r="CL8" i="5"/>
  <c r="CH8" i="5"/>
  <c r="CD8" i="5"/>
  <c r="BZ8" i="5"/>
  <c r="BV8" i="5"/>
  <c r="BR8" i="5"/>
  <c r="BN8" i="5"/>
  <c r="BJ8" i="5"/>
  <c r="BF8" i="5"/>
  <c r="BB8" i="5"/>
  <c r="AX8" i="5"/>
  <c r="AT8" i="5"/>
  <c r="AP8" i="5"/>
  <c r="AL8" i="5"/>
  <c r="AH8" i="5"/>
  <c r="AD8" i="5"/>
  <c r="Z8" i="5"/>
  <c r="V8" i="5"/>
  <c r="R8" i="5"/>
  <c r="N8" i="5"/>
  <c r="J8" i="5"/>
  <c r="G8" i="5"/>
  <c r="L8" i="5"/>
  <c r="Q8" i="5"/>
  <c r="W8" i="5"/>
  <c r="AB8" i="5"/>
  <c r="AG8" i="5"/>
  <c r="AM8" i="5"/>
  <c r="AR8" i="5"/>
  <c r="AW8" i="5"/>
  <c r="BC8" i="5"/>
  <c r="BH8" i="5"/>
  <c r="BM8" i="5"/>
  <c r="BS8" i="5"/>
  <c r="BX8" i="5"/>
  <c r="CC8" i="5"/>
  <c r="CI8" i="5"/>
  <c r="CN8" i="5"/>
  <c r="CS8" i="5"/>
  <c r="CY8" i="5"/>
  <c r="DA9" i="5"/>
  <c r="CW9" i="5"/>
  <c r="CS9" i="5"/>
  <c r="CO9" i="5"/>
  <c r="CK9" i="5"/>
  <c r="CG9" i="5"/>
  <c r="CC9" i="5"/>
  <c r="BY9" i="5"/>
  <c r="BU9" i="5"/>
  <c r="BQ9" i="5"/>
  <c r="BM9" i="5"/>
  <c r="BI9" i="5"/>
  <c r="BE9" i="5"/>
  <c r="BA9" i="5"/>
  <c r="AW9" i="5"/>
  <c r="AS9" i="5"/>
  <c r="AO9" i="5"/>
  <c r="AK9" i="5"/>
  <c r="AG9" i="5"/>
  <c r="AC9" i="5"/>
  <c r="Y9" i="5"/>
  <c r="U9" i="5"/>
  <c r="Q9" i="5"/>
  <c r="M9" i="5"/>
  <c r="I9" i="5"/>
  <c r="CX9" i="5"/>
  <c r="CR9" i="5"/>
  <c r="CM9" i="5"/>
  <c r="CH9" i="5"/>
  <c r="CB9" i="5"/>
  <c r="BW9" i="5"/>
  <c r="BR9" i="5"/>
  <c r="BL9" i="5"/>
  <c r="BG9" i="5"/>
  <c r="BB9" i="5"/>
  <c r="AV9" i="5"/>
  <c r="AQ9" i="5"/>
  <c r="AL9" i="5"/>
  <c r="AF9" i="5"/>
  <c r="AA9" i="5"/>
  <c r="V9" i="5"/>
  <c r="DB9" i="5"/>
  <c r="CV9" i="5"/>
  <c r="CQ9" i="5"/>
  <c r="CL9" i="5"/>
  <c r="CF9" i="5"/>
  <c r="CA9" i="5"/>
  <c r="BV9" i="5"/>
  <c r="BP9" i="5"/>
  <c r="BK9" i="5"/>
  <c r="BF9" i="5"/>
  <c r="AZ9" i="5"/>
  <c r="AU9" i="5"/>
  <c r="AP9" i="5"/>
  <c r="AJ9" i="5"/>
  <c r="AE9" i="5"/>
  <c r="Z9" i="5"/>
  <c r="L9" i="5"/>
  <c r="R9" i="5"/>
  <c r="X9" i="5"/>
  <c r="AI9" i="5"/>
  <c r="AT9" i="5"/>
  <c r="BD9" i="5"/>
  <c r="BO9" i="5"/>
  <c r="BZ9" i="5"/>
  <c r="CJ9" i="5"/>
  <c r="CU9" i="5"/>
  <c r="I10" i="5"/>
  <c r="S10" i="5"/>
  <c r="AD10" i="5"/>
  <c r="AO10" i="5"/>
  <c r="AY10" i="5"/>
  <c r="BJ10" i="5"/>
  <c r="BU10" i="5"/>
  <c r="CE10" i="5"/>
  <c r="CP10" i="5"/>
  <c r="DA10" i="5"/>
  <c r="L12" i="5"/>
  <c r="W12" i="5"/>
  <c r="AG12" i="5"/>
  <c r="AR12" i="5"/>
  <c r="BC12" i="5"/>
  <c r="BM12" i="5"/>
  <c r="BX12" i="5"/>
  <c r="CI12" i="5"/>
  <c r="CS12" i="5"/>
  <c r="V12" i="6"/>
  <c r="V11" i="6"/>
  <c r="V10" i="6"/>
  <c r="V9" i="6"/>
  <c r="G4" i="6"/>
  <c r="F38" i="1" s="1"/>
  <c r="G2" i="6"/>
  <c r="F34" i="1" s="1"/>
  <c r="J18" i="6"/>
  <c r="K17" i="6"/>
  <c r="J14" i="6"/>
  <c r="K13" i="6"/>
  <c r="K12" i="6"/>
  <c r="K11" i="6"/>
  <c r="K10" i="6"/>
  <c r="K9" i="6"/>
  <c r="J8" i="6"/>
  <c r="J6" i="6"/>
  <c r="J17" i="6"/>
  <c r="J13" i="6"/>
  <c r="L13" i="6" s="1"/>
  <c r="J12" i="6"/>
  <c r="J11" i="6"/>
  <c r="L11" i="6" s="1"/>
  <c r="J10" i="6"/>
  <c r="J9" i="6"/>
  <c r="L9" i="6" s="1"/>
  <c r="K5" i="6"/>
  <c r="K3" i="6"/>
  <c r="K6" i="6"/>
  <c r="J3" i="6"/>
  <c r="J5" i="6"/>
  <c r="K8" i="6"/>
  <c r="H4" i="5"/>
  <c r="L4" i="5"/>
  <c r="P4" i="5"/>
  <c r="T4" i="5"/>
  <c r="X4" i="5"/>
  <c r="AB4" i="5"/>
  <c r="AF4" i="5"/>
  <c r="AJ4" i="5"/>
  <c r="AN4" i="5"/>
  <c r="AR4" i="5"/>
  <c r="AV4" i="5"/>
  <c r="AZ4" i="5"/>
  <c r="BD4" i="5"/>
  <c r="BH4" i="5"/>
  <c r="BL4" i="5"/>
  <c r="BP4" i="5"/>
  <c r="BT4" i="5"/>
  <c r="BX4" i="5"/>
  <c r="CB4" i="5"/>
  <c r="CF4" i="5"/>
  <c r="CJ4" i="5"/>
  <c r="CN4" i="5"/>
  <c r="CR4" i="5"/>
  <c r="CV4" i="5"/>
  <c r="CZ4" i="5"/>
  <c r="K5" i="5"/>
  <c r="O5" i="5"/>
  <c r="S5" i="5"/>
  <c r="W5" i="5"/>
  <c r="AA5" i="5"/>
  <c r="AE5" i="5"/>
  <c r="AI5" i="5"/>
  <c r="AM5" i="5"/>
  <c r="AQ5" i="5"/>
  <c r="AU5" i="5"/>
  <c r="AY5" i="5"/>
  <c r="BC5" i="5"/>
  <c r="BG5" i="5"/>
  <c r="BK5" i="5"/>
  <c r="BO5" i="5"/>
  <c r="BS5" i="5"/>
  <c r="BW5" i="5"/>
  <c r="CA5" i="5"/>
  <c r="CE5" i="5"/>
  <c r="CI5" i="5"/>
  <c r="CM5" i="5"/>
  <c r="CQ5" i="5"/>
  <c r="CU5" i="5"/>
  <c r="CY5" i="5"/>
  <c r="G6" i="5"/>
  <c r="J6" i="5"/>
  <c r="N6" i="5"/>
  <c r="R6" i="5"/>
  <c r="V6" i="5"/>
  <c r="Z6" i="5"/>
  <c r="AD6" i="5"/>
  <c r="AH6" i="5"/>
  <c r="AL6" i="5"/>
  <c r="AP6" i="5"/>
  <c r="AT6" i="5"/>
  <c r="AX6" i="5"/>
  <c r="BB6" i="5"/>
  <c r="BF6" i="5"/>
  <c r="BJ6" i="5"/>
  <c r="BN6" i="5"/>
  <c r="BR6" i="5"/>
  <c r="BV6" i="5"/>
  <c r="BZ6" i="5"/>
  <c r="CE6" i="5"/>
  <c r="CK6" i="5"/>
  <c r="CP6" i="5"/>
  <c r="CU6" i="5"/>
  <c r="H8" i="5"/>
  <c r="M8" i="5"/>
  <c r="S8" i="5"/>
  <c r="X8" i="5"/>
  <c r="AC8" i="5"/>
  <c r="AI8" i="5"/>
  <c r="AN8" i="5"/>
  <c r="AS8" i="5"/>
  <c r="AY8" i="5"/>
  <c r="BD8" i="5"/>
  <c r="BI8" i="5"/>
  <c r="BO8" i="5"/>
  <c r="BT8" i="5"/>
  <c r="BY8" i="5"/>
  <c r="CE8" i="5"/>
  <c r="CJ8" i="5"/>
  <c r="CO8" i="5"/>
  <c r="CU8" i="5"/>
  <c r="CZ8" i="5"/>
  <c r="H9" i="5"/>
  <c r="N9" i="5"/>
  <c r="S9" i="5"/>
  <c r="AB9" i="5"/>
  <c r="AM9" i="5"/>
  <c r="AX9" i="5"/>
  <c r="BH9" i="5"/>
  <c r="BS9" i="5"/>
  <c r="CD9" i="5"/>
  <c r="CN9" i="5"/>
  <c r="CY9" i="5"/>
  <c r="M10" i="5"/>
  <c r="W10" i="5"/>
  <c r="AH10" i="5"/>
  <c r="AS10" i="5"/>
  <c r="BC10" i="5"/>
  <c r="BN10" i="5"/>
  <c r="BY10" i="5"/>
  <c r="CI10" i="5"/>
  <c r="CT10" i="5"/>
  <c r="M12" i="5"/>
  <c r="X12" i="5"/>
  <c r="AI12" i="5"/>
  <c r="AS12" i="5"/>
  <c r="BD12" i="5"/>
  <c r="BO12" i="5"/>
  <c r="BY12" i="5"/>
  <c r="CJ12" i="5"/>
  <c r="I4" i="5"/>
  <c r="M4" i="5"/>
  <c r="Q4" i="5"/>
  <c r="U4" i="5"/>
  <c r="Y4" i="5"/>
  <c r="AC4" i="5"/>
  <c r="AG4" i="5"/>
  <c r="AK4" i="5"/>
  <c r="AO4" i="5"/>
  <c r="AS4" i="5"/>
  <c r="AW4" i="5"/>
  <c r="BA4" i="5"/>
  <c r="BE4" i="5"/>
  <c r="BI4" i="5"/>
  <c r="BM4" i="5"/>
  <c r="BQ4" i="5"/>
  <c r="BU4" i="5"/>
  <c r="BY4" i="5"/>
  <c r="CC4" i="5"/>
  <c r="CG4" i="5"/>
  <c r="CK4" i="5"/>
  <c r="CO4" i="5"/>
  <c r="CS4" i="5"/>
  <c r="CW4" i="5"/>
  <c r="H5" i="5"/>
  <c r="L5" i="5"/>
  <c r="P5" i="5"/>
  <c r="T5" i="5"/>
  <c r="X5" i="5"/>
  <c r="AB5" i="5"/>
  <c r="AF5" i="5"/>
  <c r="AJ5" i="5"/>
  <c r="AN5" i="5"/>
  <c r="AR5" i="5"/>
  <c r="AV5" i="5"/>
  <c r="AZ5" i="5"/>
  <c r="BD5" i="5"/>
  <c r="BH5" i="5"/>
  <c r="BL5" i="5"/>
  <c r="BP5" i="5"/>
  <c r="BT5" i="5"/>
  <c r="BX5" i="5"/>
  <c r="CB5" i="5"/>
  <c r="CF5" i="5"/>
  <c r="CJ5" i="5"/>
  <c r="CN5" i="5"/>
  <c r="CR5" i="5"/>
  <c r="CV5" i="5"/>
  <c r="CZ6" i="5"/>
  <c r="CV6" i="5"/>
  <c r="CR6" i="5"/>
  <c r="CN6" i="5"/>
  <c r="CJ6" i="5"/>
  <c r="CF6" i="5"/>
  <c r="CB6" i="5"/>
  <c r="K6" i="5"/>
  <c r="O6" i="5"/>
  <c r="S6" i="5"/>
  <c r="W6" i="5"/>
  <c r="AA6" i="5"/>
  <c r="AE6" i="5"/>
  <c r="AI6" i="5"/>
  <c r="AM6" i="5"/>
  <c r="AQ6" i="5"/>
  <c r="AU6" i="5"/>
  <c r="AY6" i="5"/>
  <c r="BC6" i="5"/>
  <c r="BG6" i="5"/>
  <c r="BK6" i="5"/>
  <c r="BO6" i="5"/>
  <c r="BS6" i="5"/>
  <c r="BW6" i="5"/>
  <c r="CA6" i="5"/>
  <c r="CG6" i="5"/>
  <c r="CL6" i="5"/>
  <c r="CQ6" i="5"/>
  <c r="CW6" i="5"/>
  <c r="DB6" i="5"/>
  <c r="I8" i="5"/>
  <c r="O8" i="5"/>
  <c r="T8" i="5"/>
  <c r="Y8" i="5"/>
  <c r="AE8" i="5"/>
  <c r="AJ8" i="5"/>
  <c r="AO8" i="5"/>
  <c r="AU8" i="5"/>
  <c r="AZ8" i="5"/>
  <c r="BE8" i="5"/>
  <c r="BK8" i="5"/>
  <c r="BP8" i="5"/>
  <c r="BU8" i="5"/>
  <c r="CA8" i="5"/>
  <c r="CF8" i="5"/>
  <c r="CK8" i="5"/>
  <c r="CQ8" i="5"/>
  <c r="CV8" i="5"/>
  <c r="DA8" i="5"/>
  <c r="J9" i="5"/>
  <c r="O9" i="5"/>
  <c r="T9" i="5"/>
  <c r="AD9" i="5"/>
  <c r="AN9" i="5"/>
  <c r="AY9" i="5"/>
  <c r="BJ9" i="5"/>
  <c r="BT9" i="5"/>
  <c r="CE9" i="5"/>
  <c r="CP9" i="5"/>
  <c r="CZ9" i="5"/>
  <c r="N10" i="5"/>
  <c r="Y10" i="5"/>
  <c r="AI10" i="5"/>
  <c r="AT10" i="5"/>
  <c r="BE10" i="5"/>
  <c r="BO10" i="5"/>
  <c r="BZ10" i="5"/>
  <c r="CK10" i="5"/>
  <c r="CU10" i="5"/>
  <c r="DB12" i="5"/>
  <c r="CX12" i="5"/>
  <c r="CT12" i="5"/>
  <c r="CP12" i="5"/>
  <c r="CL12" i="5"/>
  <c r="CH12" i="5"/>
  <c r="CD12" i="5"/>
  <c r="BZ12" i="5"/>
  <c r="BV12" i="5"/>
  <c r="BR12" i="5"/>
  <c r="BN12" i="5"/>
  <c r="BJ12" i="5"/>
  <c r="BF12" i="5"/>
  <c r="BB12" i="5"/>
  <c r="AX12" i="5"/>
  <c r="AT12" i="5"/>
  <c r="AP12" i="5"/>
  <c r="AL12" i="5"/>
  <c r="AH12" i="5"/>
  <c r="AD12" i="5"/>
  <c r="Z12" i="5"/>
  <c r="V12" i="5"/>
  <c r="R12" i="5"/>
  <c r="N12" i="5"/>
  <c r="J12" i="5"/>
  <c r="G12" i="5"/>
  <c r="CW12" i="5"/>
  <c r="CR12" i="5"/>
  <c r="CM12" i="5"/>
  <c r="CG12" i="5"/>
  <c r="CB12" i="5"/>
  <c r="BW12" i="5"/>
  <c r="BQ12" i="5"/>
  <c r="BL12" i="5"/>
  <c r="BG12" i="5"/>
  <c r="BA12" i="5"/>
  <c r="AV12" i="5"/>
  <c r="AQ12" i="5"/>
  <c r="AK12" i="5"/>
  <c r="AF12" i="5"/>
  <c r="AA12" i="5"/>
  <c r="U12" i="5"/>
  <c r="P12" i="5"/>
  <c r="K12" i="5"/>
  <c r="DA12" i="5"/>
  <c r="CV12" i="5"/>
  <c r="CQ12" i="5"/>
  <c r="CK12" i="5"/>
  <c r="CF12" i="5"/>
  <c r="CA12" i="5"/>
  <c r="BU12" i="5"/>
  <c r="BP12" i="5"/>
  <c r="BK12" i="5"/>
  <c r="BE12" i="5"/>
  <c r="AZ12" i="5"/>
  <c r="AU12" i="5"/>
  <c r="AO12" i="5"/>
  <c r="AJ12" i="5"/>
  <c r="AE12" i="5"/>
  <c r="Y12" i="5"/>
  <c r="T12" i="5"/>
  <c r="O12" i="5"/>
  <c r="I12" i="5"/>
  <c r="Q12" i="5"/>
  <c r="AB12" i="5"/>
  <c r="AM12" i="5"/>
  <c r="AW12" i="5"/>
  <c r="BH12" i="5"/>
  <c r="BS12" i="5"/>
  <c r="CC12" i="5"/>
  <c r="CN12" i="5"/>
  <c r="CY12" i="5"/>
  <c r="J13" i="5"/>
  <c r="O13" i="5"/>
  <c r="T13" i="5"/>
  <c r="Z13" i="5"/>
  <c r="AE13" i="5"/>
  <c r="AJ13" i="5"/>
  <c r="AP13" i="5"/>
  <c r="AU13" i="5"/>
  <c r="AZ13" i="5"/>
  <c r="BF13" i="5"/>
  <c r="BK13" i="5"/>
  <c r="BP13" i="5"/>
  <c r="BV13" i="5"/>
  <c r="CD13" i="5"/>
  <c r="CJ13" i="5"/>
  <c r="CQ13" i="5"/>
  <c r="CY13" i="5"/>
  <c r="I14" i="5"/>
  <c r="O14" i="5"/>
  <c r="W14" i="5"/>
  <c r="AD14" i="5"/>
  <c r="AK14" i="5"/>
  <c r="AS14" i="5"/>
  <c r="AY14" i="5"/>
  <c r="BF14" i="5"/>
  <c r="BN14" i="5"/>
  <c r="BU14" i="5"/>
  <c r="CA14" i="5"/>
  <c r="CI14" i="5"/>
  <c r="CP14" i="5"/>
  <c r="CW14" i="5"/>
  <c r="G13" i="5"/>
  <c r="K13" i="5"/>
  <c r="P13" i="5"/>
  <c r="V13" i="5"/>
  <c r="AA13" i="5"/>
  <c r="AF13" i="5"/>
  <c r="AL13" i="5"/>
  <c r="AQ13" i="5"/>
  <c r="AV13" i="5"/>
  <c r="BB13" i="5"/>
  <c r="BG13" i="5"/>
  <c r="BL13" i="5"/>
  <c r="BR13" i="5"/>
  <c r="BX13" i="5"/>
  <c r="CE13" i="5"/>
  <c r="CL13" i="5"/>
  <c r="CT13" i="5"/>
  <c r="J14" i="5"/>
  <c r="R14" i="5"/>
  <c r="Y14" i="5"/>
  <c r="AE14" i="5"/>
  <c r="AM14" i="5"/>
  <c r="AT14" i="5"/>
  <c r="BA14" i="5"/>
  <c r="BI14" i="5"/>
  <c r="BO14" i="5"/>
  <c r="BV14" i="5"/>
  <c r="CD14" i="5"/>
  <c r="CK14" i="5"/>
  <c r="CQ14" i="5"/>
  <c r="CY14" i="5"/>
  <c r="DA13" i="5"/>
  <c r="CW13" i="5"/>
  <c r="CS13" i="5"/>
  <c r="CO13" i="5"/>
  <c r="CK13" i="5"/>
  <c r="CG13" i="5"/>
  <c r="CC13" i="5"/>
  <c r="BY13" i="5"/>
  <c r="BU13" i="5"/>
  <c r="BQ13" i="5"/>
  <c r="BM13" i="5"/>
  <c r="BI13" i="5"/>
  <c r="BE13" i="5"/>
  <c r="BA13" i="5"/>
  <c r="AW13" i="5"/>
  <c r="AS13" i="5"/>
  <c r="AO13" i="5"/>
  <c r="AK13" i="5"/>
  <c r="AG13" i="5"/>
  <c r="AC13" i="5"/>
  <c r="Y13" i="5"/>
  <c r="U13" i="5"/>
  <c r="Q13" i="5"/>
  <c r="M13" i="5"/>
  <c r="I13" i="5"/>
  <c r="CX13" i="5"/>
  <c r="CR13" i="5"/>
  <c r="CM13" i="5"/>
  <c r="CH13" i="5"/>
  <c r="CB13" i="5"/>
  <c r="BW13" i="5"/>
  <c r="L13" i="5"/>
  <c r="R13" i="5"/>
  <c r="W13" i="5"/>
  <c r="AB13" i="5"/>
  <c r="AH13" i="5"/>
  <c r="AM13" i="5"/>
  <c r="AR13" i="5"/>
  <c r="AX13" i="5"/>
  <c r="BC13" i="5"/>
  <c r="BH13" i="5"/>
  <c r="BN13" i="5"/>
  <c r="BS13" i="5"/>
  <c r="BZ13" i="5"/>
  <c r="CF13" i="5"/>
  <c r="CN13" i="5"/>
  <c r="CU13" i="5"/>
  <c r="DB13" i="5"/>
  <c r="M14" i="5"/>
  <c r="S14" i="5"/>
  <c r="Z14" i="5"/>
  <c r="AH14" i="5"/>
  <c r="AO14" i="5"/>
  <c r="AU14" i="5"/>
  <c r="BC14" i="5"/>
  <c r="BJ14" i="5"/>
  <c r="BQ14" i="5"/>
  <c r="BY14" i="5"/>
  <c r="CE14" i="5"/>
  <c r="CL14" i="5"/>
  <c r="CT14" i="5"/>
  <c r="CZ14" i="5"/>
  <c r="CV14" i="5"/>
  <c r="CR14" i="5"/>
  <c r="CN14" i="5"/>
  <c r="CJ14" i="5"/>
  <c r="CF14" i="5"/>
  <c r="CB14" i="5"/>
  <c r="BX14" i="5"/>
  <c r="BT14" i="5"/>
  <c r="BP14" i="5"/>
  <c r="BL14" i="5"/>
  <c r="BH14" i="5"/>
  <c r="BD14" i="5"/>
  <c r="AZ14" i="5"/>
  <c r="AV14" i="5"/>
  <c r="AR14" i="5"/>
  <c r="AN14" i="5"/>
  <c r="AJ14" i="5"/>
  <c r="AF14" i="5"/>
  <c r="AB14" i="5"/>
  <c r="X14" i="5"/>
  <c r="T14" i="5"/>
  <c r="P14" i="5"/>
  <c r="L14" i="5"/>
  <c r="H14" i="5"/>
  <c r="CX14" i="5"/>
  <c r="CS14" i="5"/>
  <c r="CM14" i="5"/>
  <c r="CH14" i="5"/>
  <c r="CC14" i="5"/>
  <c r="BW14" i="5"/>
  <c r="BR14" i="5"/>
  <c r="BM14" i="5"/>
  <c r="BG14" i="5"/>
  <c r="BB14" i="5"/>
  <c r="AW14" i="5"/>
  <c r="AQ14" i="5"/>
  <c r="AL14" i="5"/>
  <c r="AG14" i="5"/>
  <c r="AA14" i="5"/>
  <c r="V14" i="5"/>
  <c r="Q14" i="5"/>
  <c r="K14" i="5"/>
  <c r="G14" i="5"/>
  <c r="N14" i="5"/>
  <c r="U14" i="5"/>
  <c r="AC14" i="5"/>
  <c r="AI14" i="5"/>
  <c r="AP14" i="5"/>
  <c r="AX14" i="5"/>
  <c r="BE14" i="5"/>
  <c r="BK14" i="5"/>
  <c r="BS14" i="5"/>
  <c r="BZ14" i="5"/>
  <c r="CG14" i="5"/>
  <c r="CO14" i="5"/>
  <c r="CU14" i="5"/>
  <c r="DB14" i="5"/>
  <c r="I16" i="5"/>
  <c r="O16" i="5"/>
  <c r="T16" i="5"/>
  <c r="Y16" i="5"/>
  <c r="AE16" i="5"/>
  <c r="AJ16" i="5"/>
  <c r="AO16" i="5"/>
  <c r="AU16" i="5"/>
  <c r="AZ16" i="5"/>
  <c r="BE16" i="5"/>
  <c r="BK16" i="5"/>
  <c r="BP16" i="5"/>
  <c r="BU16" i="5"/>
  <c r="CA16" i="5"/>
  <c r="CG16" i="5"/>
  <c r="CN16" i="5"/>
  <c r="CV16" i="5"/>
  <c r="I20" i="5"/>
  <c r="P20" i="5"/>
  <c r="W20" i="5"/>
  <c r="AE20" i="5"/>
  <c r="AK20" i="5"/>
  <c r="AR20" i="5"/>
  <c r="AZ20" i="5"/>
  <c r="BG20" i="5"/>
  <c r="BM20" i="5"/>
  <c r="BU20" i="5"/>
  <c r="CB20" i="5"/>
  <c r="CI20" i="5"/>
  <c r="CQ20" i="5"/>
  <c r="CW20" i="5"/>
  <c r="K2" i="6"/>
  <c r="J2" i="6"/>
  <c r="M2" i="6"/>
  <c r="X10" i="6"/>
  <c r="X12" i="6"/>
  <c r="K16" i="6"/>
  <c r="K16" i="5"/>
  <c r="P16" i="5"/>
  <c r="U16" i="5"/>
  <c r="AA16" i="5"/>
  <c r="AF16" i="5"/>
  <c r="AK16" i="5"/>
  <c r="AQ16" i="5"/>
  <c r="AV16" i="5"/>
  <c r="BA16" i="5"/>
  <c r="BG16" i="5"/>
  <c r="BL16" i="5"/>
  <c r="BQ16" i="5"/>
  <c r="BW16" i="5"/>
  <c r="CB16" i="5"/>
  <c r="CI16" i="5"/>
  <c r="CQ16" i="5"/>
  <c r="DA17" i="5"/>
  <c r="CW17" i="5"/>
  <c r="CS17" i="5"/>
  <c r="CO17" i="5"/>
  <c r="CK17" i="5"/>
  <c r="CG17" i="5"/>
  <c r="CC17" i="5"/>
  <c r="BY17" i="5"/>
  <c r="BU17" i="5"/>
  <c r="BQ17" i="5"/>
  <c r="BM17" i="5"/>
  <c r="BI17" i="5"/>
  <c r="BE17" i="5"/>
  <c r="BA17" i="5"/>
  <c r="AW17" i="5"/>
  <c r="AS17" i="5"/>
  <c r="AO17" i="5"/>
  <c r="AK17" i="5"/>
  <c r="AG17" i="5"/>
  <c r="AC17" i="5"/>
  <c r="Y17" i="5"/>
  <c r="U17" i="5"/>
  <c r="Q17" i="5"/>
  <c r="M17" i="5"/>
  <c r="I17" i="5"/>
  <c r="CZ17" i="5"/>
  <c r="CU17" i="5"/>
  <c r="CP17" i="5"/>
  <c r="CJ17" i="5"/>
  <c r="CE17" i="5"/>
  <c r="BZ17" i="5"/>
  <c r="BT17" i="5"/>
  <c r="BO17" i="5"/>
  <c r="BJ17" i="5"/>
  <c r="BD17" i="5"/>
  <c r="AY17" i="5"/>
  <c r="AT17" i="5"/>
  <c r="AN17" i="5"/>
  <c r="AI17" i="5"/>
  <c r="AD17" i="5"/>
  <c r="X17" i="5"/>
  <c r="S17" i="5"/>
  <c r="N17" i="5"/>
  <c r="H17" i="5"/>
  <c r="O17" i="5"/>
  <c r="V17" i="5"/>
  <c r="AB17" i="5"/>
  <c r="AJ17" i="5"/>
  <c r="AQ17" i="5"/>
  <c r="AX17" i="5"/>
  <c r="BF17" i="5"/>
  <c r="BL17" i="5"/>
  <c r="BS17" i="5"/>
  <c r="CA17" i="5"/>
  <c r="CH17" i="5"/>
  <c r="CN17" i="5"/>
  <c r="CV17" i="5"/>
  <c r="G18" i="5"/>
  <c r="M18" i="5"/>
  <c r="U18" i="5"/>
  <c r="AA18" i="5"/>
  <c r="AH18" i="5"/>
  <c r="AP18" i="5"/>
  <c r="AW18" i="5"/>
  <c r="BC18" i="5"/>
  <c r="BK18" i="5"/>
  <c r="BR18" i="5"/>
  <c r="BY18" i="5"/>
  <c r="CG18" i="5"/>
  <c r="CM18" i="5"/>
  <c r="CT18" i="5"/>
  <c r="K20" i="5"/>
  <c r="Q20" i="5"/>
  <c r="Y20" i="5"/>
  <c r="AF20" i="5"/>
  <c r="AM20" i="5"/>
  <c r="AU20" i="5"/>
  <c r="BA20" i="5"/>
  <c r="BH20" i="5"/>
  <c r="BP20" i="5"/>
  <c r="BW20" i="5"/>
  <c r="CC20" i="5"/>
  <c r="CK20" i="5"/>
  <c r="CR20" i="5"/>
  <c r="CY20" i="5"/>
  <c r="DB16" i="5"/>
  <c r="CX16" i="5"/>
  <c r="CT16" i="5"/>
  <c r="CP16" i="5"/>
  <c r="CL16" i="5"/>
  <c r="CH16" i="5"/>
  <c r="CD16" i="5"/>
  <c r="CZ16" i="5"/>
  <c r="CU16" i="5"/>
  <c r="CO16" i="5"/>
  <c r="CJ16" i="5"/>
  <c r="CE16" i="5"/>
  <c r="BZ16" i="5"/>
  <c r="BV16" i="5"/>
  <c r="BR16" i="5"/>
  <c r="BN16" i="5"/>
  <c r="BJ16" i="5"/>
  <c r="BF16" i="5"/>
  <c r="BB16" i="5"/>
  <c r="AX16" i="5"/>
  <c r="AT16" i="5"/>
  <c r="AP16" i="5"/>
  <c r="AL16" i="5"/>
  <c r="AH16" i="5"/>
  <c r="AD16" i="5"/>
  <c r="Z16" i="5"/>
  <c r="V16" i="5"/>
  <c r="R16" i="5"/>
  <c r="N16" i="5"/>
  <c r="J16" i="5"/>
  <c r="G16" i="5"/>
  <c r="L16" i="5"/>
  <c r="Q16" i="5"/>
  <c r="W16" i="5"/>
  <c r="AB16" i="5"/>
  <c r="AG16" i="5"/>
  <c r="AM16" i="5"/>
  <c r="AR16" i="5"/>
  <c r="AW16" i="5"/>
  <c r="BC16" i="5"/>
  <c r="BH16" i="5"/>
  <c r="BM16" i="5"/>
  <c r="BS16" i="5"/>
  <c r="BX16" i="5"/>
  <c r="CC16" i="5"/>
  <c r="CK16" i="5"/>
  <c r="CR16" i="5"/>
  <c r="CY16" i="5"/>
  <c r="BV17" i="5"/>
  <c r="CB17" i="5"/>
  <c r="CI17" i="5"/>
  <c r="CQ17" i="5"/>
  <c r="CX17" i="5"/>
  <c r="CZ18" i="5"/>
  <c r="CV18" i="5"/>
  <c r="CR18" i="5"/>
  <c r="CN18" i="5"/>
  <c r="CJ18" i="5"/>
  <c r="CF18" i="5"/>
  <c r="CB18" i="5"/>
  <c r="BX18" i="5"/>
  <c r="BT18" i="5"/>
  <c r="BP18" i="5"/>
  <c r="BL18" i="5"/>
  <c r="BH18" i="5"/>
  <c r="BD18" i="5"/>
  <c r="AZ18" i="5"/>
  <c r="AV18" i="5"/>
  <c r="AR18" i="5"/>
  <c r="AN18" i="5"/>
  <c r="AJ18" i="5"/>
  <c r="AF18" i="5"/>
  <c r="AB18" i="5"/>
  <c r="X18" i="5"/>
  <c r="T18" i="5"/>
  <c r="P18" i="5"/>
  <c r="L18" i="5"/>
  <c r="H18" i="5"/>
  <c r="DA18" i="5"/>
  <c r="CU18" i="5"/>
  <c r="CP18" i="5"/>
  <c r="CK18" i="5"/>
  <c r="CE18" i="5"/>
  <c r="BZ18" i="5"/>
  <c r="BU18" i="5"/>
  <c r="BO18" i="5"/>
  <c r="BJ18" i="5"/>
  <c r="BE18" i="5"/>
  <c r="AY18" i="5"/>
  <c r="AT18" i="5"/>
  <c r="AO18" i="5"/>
  <c r="AI18" i="5"/>
  <c r="AD18" i="5"/>
  <c r="Y18" i="5"/>
  <c r="S18" i="5"/>
  <c r="N18" i="5"/>
  <c r="I18" i="5"/>
  <c r="O18" i="5"/>
  <c r="V18" i="5"/>
  <c r="AC18" i="5"/>
  <c r="AK18" i="5"/>
  <c r="AQ18" i="5"/>
  <c r="AX18" i="5"/>
  <c r="BF18" i="5"/>
  <c r="BM18" i="5"/>
  <c r="BS18" i="5"/>
  <c r="CA18" i="5"/>
  <c r="CH18" i="5"/>
  <c r="CO18" i="5"/>
  <c r="CW18" i="5"/>
  <c r="L20" i="5"/>
  <c r="T20" i="5"/>
  <c r="AA20" i="5"/>
  <c r="AG20" i="5"/>
  <c r="AO20" i="5"/>
  <c r="AV20" i="5"/>
  <c r="BC20" i="5"/>
  <c r="BK20" i="5"/>
  <c r="BQ20" i="5"/>
  <c r="BX20" i="5"/>
  <c r="CF20" i="5"/>
  <c r="CM20" i="5"/>
  <c r="CS20" i="5"/>
  <c r="K4" i="6"/>
  <c r="J4" i="6"/>
  <c r="M4" i="6"/>
  <c r="DB20" i="5"/>
  <c r="CX20" i="5"/>
  <c r="CT20" i="5"/>
  <c r="CP20" i="5"/>
  <c r="CL20" i="5"/>
  <c r="CH20" i="5"/>
  <c r="CD20" i="5"/>
  <c r="BZ20" i="5"/>
  <c r="BV20" i="5"/>
  <c r="BR20" i="5"/>
  <c r="BN20" i="5"/>
  <c r="BJ20" i="5"/>
  <c r="BF20" i="5"/>
  <c r="BB20" i="5"/>
  <c r="AX20" i="5"/>
  <c r="AT20" i="5"/>
  <c r="AP20" i="5"/>
  <c r="AL20" i="5"/>
  <c r="AH20" i="5"/>
  <c r="AD20" i="5"/>
  <c r="Z20" i="5"/>
  <c r="V20" i="5"/>
  <c r="R20" i="5"/>
  <c r="N20" i="5"/>
  <c r="J20" i="5"/>
  <c r="G20" i="5"/>
  <c r="CZ20" i="5"/>
  <c r="CU20" i="5"/>
  <c r="CO20" i="5"/>
  <c r="CJ20" i="5"/>
  <c r="CE20" i="5"/>
  <c r="BY20" i="5"/>
  <c r="BT20" i="5"/>
  <c r="BO20" i="5"/>
  <c r="BI20" i="5"/>
  <c r="BD20" i="5"/>
  <c r="AY20" i="5"/>
  <c r="AS20" i="5"/>
  <c r="AN20" i="5"/>
  <c r="AI20" i="5"/>
  <c r="AC20" i="5"/>
  <c r="X20" i="5"/>
  <c r="S20" i="5"/>
  <c r="M20" i="5"/>
  <c r="H20" i="5"/>
  <c r="O20" i="5"/>
  <c r="U20" i="5"/>
  <c r="AB20" i="5"/>
  <c r="AJ20" i="5"/>
  <c r="AQ20" i="5"/>
  <c r="AW20" i="5"/>
  <c r="BE20" i="5"/>
  <c r="BL20" i="5"/>
  <c r="BS20" i="5"/>
  <c r="CA20" i="5"/>
  <c r="CG20" i="5"/>
  <c r="CN20" i="5"/>
  <c r="CV20" i="5"/>
  <c r="M9" i="6"/>
  <c r="M11" i="6"/>
  <c r="M13" i="6"/>
  <c r="M17" i="6"/>
  <c r="DB21" i="5"/>
  <c r="CX21" i="5"/>
  <c r="CT21" i="5"/>
  <c r="CP21" i="5"/>
  <c r="CL21" i="5"/>
  <c r="CH21" i="5"/>
  <c r="CD21" i="5"/>
  <c r="BZ21" i="5"/>
  <c r="BV21" i="5"/>
  <c r="BR21" i="5"/>
  <c r="BN21" i="5"/>
  <c r="BJ21" i="5"/>
  <c r="BF21" i="5"/>
  <c r="BB21" i="5"/>
  <c r="AX21" i="5"/>
  <c r="AT21" i="5"/>
  <c r="AP21" i="5"/>
  <c r="AL21" i="5"/>
  <c r="AH21" i="5"/>
  <c r="AD21" i="5"/>
  <c r="CZ21" i="5"/>
  <c r="CU21" i="5"/>
  <c r="CO21" i="5"/>
  <c r="CJ21" i="5"/>
  <c r="CE21" i="5"/>
  <c r="BY21" i="5"/>
  <c r="BT21" i="5"/>
  <c r="BO21" i="5"/>
  <c r="BI21" i="5"/>
  <c r="BD21" i="5"/>
  <c r="AY21" i="5"/>
  <c r="AS21" i="5"/>
  <c r="AN21" i="5"/>
  <c r="AI21" i="5"/>
  <c r="AC21" i="5"/>
  <c r="Y21" i="5"/>
  <c r="U21" i="5"/>
  <c r="Q21" i="5"/>
  <c r="M21" i="5"/>
  <c r="I21" i="5"/>
  <c r="L21" i="5"/>
  <c r="R21" i="5"/>
  <c r="W21" i="5"/>
  <c r="AB21" i="5"/>
  <c r="AJ21" i="5"/>
  <c r="AQ21" i="5"/>
  <c r="AW21" i="5"/>
  <c r="BE21" i="5"/>
  <c r="BL21" i="5"/>
  <c r="BS21" i="5"/>
  <c r="CA21" i="5"/>
  <c r="CG21" i="5"/>
  <c r="CN21" i="5"/>
  <c r="CV21" i="5"/>
  <c r="M6" i="6"/>
  <c r="K7" i="5"/>
  <c r="O7" i="5"/>
  <c r="S7" i="5"/>
  <c r="W7" i="5"/>
  <c r="AA7" i="5"/>
  <c r="AE7" i="5"/>
  <c r="AI7" i="5"/>
  <c r="AM7" i="5"/>
  <c r="AQ7" i="5"/>
  <c r="AU7" i="5"/>
  <c r="AY7" i="5"/>
  <c r="BC7" i="5"/>
  <c r="BG7" i="5"/>
  <c r="BK7" i="5"/>
  <c r="BO7" i="5"/>
  <c r="BS7" i="5"/>
  <c r="BW7" i="5"/>
  <c r="CA7" i="5"/>
  <c r="CE7" i="5"/>
  <c r="CI7" i="5"/>
  <c r="CM7" i="5"/>
  <c r="CQ7" i="5"/>
  <c r="CU7" i="5"/>
  <c r="K11" i="5"/>
  <c r="O11" i="5"/>
  <c r="S11" i="5"/>
  <c r="W11" i="5"/>
  <c r="AA11" i="5"/>
  <c r="AE11" i="5"/>
  <c r="AI11" i="5"/>
  <c r="AM11" i="5"/>
  <c r="AQ11" i="5"/>
  <c r="AU11" i="5"/>
  <c r="AY11" i="5"/>
  <c r="BC11" i="5"/>
  <c r="BG11" i="5"/>
  <c r="BK11" i="5"/>
  <c r="BO11" i="5"/>
  <c r="BS11" i="5"/>
  <c r="BW11" i="5"/>
  <c r="CA11" i="5"/>
  <c r="CE11" i="5"/>
  <c r="CI11" i="5"/>
  <c r="CM11" i="5"/>
  <c r="CQ11" i="5"/>
  <c r="CU11" i="5"/>
  <c r="K15" i="5"/>
  <c r="O15" i="5"/>
  <c r="S15" i="5"/>
  <c r="W15" i="5"/>
  <c r="AA15" i="5"/>
  <c r="AE15" i="5"/>
  <c r="AI15" i="5"/>
  <c r="AM15" i="5"/>
  <c r="AQ15" i="5"/>
  <c r="AU15" i="5"/>
  <c r="AY15" i="5"/>
  <c r="BC15" i="5"/>
  <c r="BG15" i="5"/>
  <c r="BK15" i="5"/>
  <c r="BO15" i="5"/>
  <c r="BS15" i="5"/>
  <c r="BW15" i="5"/>
  <c r="CA15" i="5"/>
  <c r="CE15" i="5"/>
  <c r="CI15" i="5"/>
  <c r="CM15" i="5"/>
  <c r="CQ15" i="5"/>
  <c r="CU15" i="5"/>
  <c r="H21" i="5"/>
  <c r="N21" i="5"/>
  <c r="S21" i="5"/>
  <c r="X21" i="5"/>
  <c r="AE21" i="5"/>
  <c r="AK21" i="5"/>
  <c r="AR21" i="5"/>
  <c r="AZ21" i="5"/>
  <c r="BG21" i="5"/>
  <c r="BM21" i="5"/>
  <c r="BU21" i="5"/>
  <c r="CB21" i="5"/>
  <c r="CI21" i="5"/>
  <c r="CQ21" i="5"/>
  <c r="CW21" i="5"/>
  <c r="DA22" i="5"/>
  <c r="CW22" i="5"/>
  <c r="CS22" i="5"/>
  <c r="CO22" i="5"/>
  <c r="CK22" i="5"/>
  <c r="CG22" i="5"/>
  <c r="CC22" i="5"/>
  <c r="BY22" i="5"/>
  <c r="BU22" i="5"/>
  <c r="BQ22" i="5"/>
  <c r="BM22" i="5"/>
  <c r="BI22" i="5"/>
  <c r="BE22" i="5"/>
  <c r="BA22" i="5"/>
  <c r="AW22" i="5"/>
  <c r="AS22" i="5"/>
  <c r="AO22" i="5"/>
  <c r="AK22" i="5"/>
  <c r="AG22" i="5"/>
  <c r="AC22" i="5"/>
  <c r="Y22" i="5"/>
  <c r="U22" i="5"/>
  <c r="Q22" i="5"/>
  <c r="M22" i="5"/>
  <c r="I22" i="5"/>
  <c r="CZ22" i="5"/>
  <c r="CU22" i="5"/>
  <c r="CP22" i="5"/>
  <c r="CJ22" i="5"/>
  <c r="CE22" i="5"/>
  <c r="BZ22" i="5"/>
  <c r="BT22" i="5"/>
  <c r="BO22" i="5"/>
  <c r="BJ22" i="5"/>
  <c r="BD22" i="5"/>
  <c r="AY22" i="5"/>
  <c r="AT22" i="5"/>
  <c r="AN22" i="5"/>
  <c r="AI22" i="5"/>
  <c r="AD22" i="5"/>
  <c r="X22" i="5"/>
  <c r="S22" i="5"/>
  <c r="N22" i="5"/>
  <c r="H22" i="5"/>
  <c r="O22" i="5"/>
  <c r="V22" i="5"/>
  <c r="AB22" i="5"/>
  <c r="AJ22" i="5"/>
  <c r="AQ22" i="5"/>
  <c r="AX22" i="5"/>
  <c r="BF22" i="5"/>
  <c r="BL22" i="5"/>
  <c r="BS22" i="5"/>
  <c r="CA22" i="5"/>
  <c r="CH22" i="5"/>
  <c r="CN22" i="5"/>
  <c r="CV22" i="5"/>
  <c r="DA23" i="5"/>
  <c r="CW23" i="5"/>
  <c r="CS23" i="5"/>
  <c r="CO23" i="5"/>
  <c r="CK23" i="5"/>
  <c r="CG23" i="5"/>
  <c r="CC23" i="5"/>
  <c r="BY23" i="5"/>
  <c r="BU23" i="5"/>
  <c r="BQ23" i="5"/>
  <c r="BM23" i="5"/>
  <c r="BI23" i="5"/>
  <c r="BE23" i="5"/>
  <c r="BA23" i="5"/>
  <c r="AW23" i="5"/>
  <c r="AS23" i="5"/>
  <c r="AO23" i="5"/>
  <c r="CZ23" i="5"/>
  <c r="CU23" i="5"/>
  <c r="CP23" i="5"/>
  <c r="CJ23" i="5"/>
  <c r="CE23" i="5"/>
  <c r="BZ23" i="5"/>
  <c r="BT23" i="5"/>
  <c r="BO23" i="5"/>
  <c r="BJ23" i="5"/>
  <c r="BD23" i="5"/>
  <c r="AY23" i="5"/>
  <c r="AT23" i="5"/>
  <c r="AN23" i="5"/>
  <c r="AJ23" i="5"/>
  <c r="AF23" i="5"/>
  <c r="AB23" i="5"/>
  <c r="X23" i="5"/>
  <c r="T23" i="5"/>
  <c r="P23" i="5"/>
  <c r="L23" i="5"/>
  <c r="H23" i="5"/>
  <c r="M23" i="5"/>
  <c r="R23" i="5"/>
  <c r="W23" i="5"/>
  <c r="AC23" i="5"/>
  <c r="AH23" i="5"/>
  <c r="AM23" i="5"/>
  <c r="AU23" i="5"/>
  <c r="BB23" i="5"/>
  <c r="BH23" i="5"/>
  <c r="BP23" i="5"/>
  <c r="BW23" i="5"/>
  <c r="CD23" i="5"/>
  <c r="CL23" i="5"/>
  <c r="CR23" i="5"/>
  <c r="CY23" i="5"/>
  <c r="K19" i="5"/>
  <c r="O19" i="5"/>
  <c r="S19" i="5"/>
  <c r="W19" i="5"/>
  <c r="AA19" i="5"/>
  <c r="AE19" i="5"/>
  <c r="AI19" i="5"/>
  <c r="AM19" i="5"/>
  <c r="AQ19" i="5"/>
  <c r="AU19" i="5"/>
  <c r="AY19" i="5"/>
  <c r="BC19" i="5"/>
  <c r="BG19" i="5"/>
  <c r="BK19" i="5"/>
  <c r="BO19" i="5"/>
  <c r="BS19" i="5"/>
  <c r="BW19" i="5"/>
  <c r="CA19" i="5"/>
  <c r="CE19" i="5"/>
  <c r="CI19" i="5"/>
  <c r="CM19" i="5"/>
  <c r="CQ19" i="5"/>
  <c r="CU19" i="5"/>
  <c r="I23" i="5"/>
  <c r="N23" i="5"/>
  <c r="S23" i="5"/>
  <c r="Y23" i="5"/>
  <c r="AD23" i="5"/>
  <c r="AI23" i="5"/>
  <c r="AP23" i="5"/>
  <c r="AV23" i="5"/>
  <c r="BC23" i="5"/>
  <c r="BK23" i="5"/>
  <c r="BR23" i="5"/>
  <c r="BX23" i="5"/>
  <c r="CF23" i="5"/>
  <c r="CM23" i="5"/>
  <c r="CT23" i="5"/>
  <c r="DB23" i="5"/>
  <c r="M3" i="6"/>
  <c r="M5" i="6"/>
  <c r="X9" i="6"/>
  <c r="X11" i="6"/>
  <c r="M14" i="6"/>
  <c r="M18" i="6"/>
  <c r="G3" i="6"/>
  <c r="F36" i="1" s="1"/>
  <c r="G5" i="6"/>
  <c r="F40" i="1" s="1"/>
  <c r="M8" i="6"/>
  <c r="M10" i="6"/>
  <c r="M12" i="6"/>
  <c r="M15" i="6"/>
  <c r="M19" i="6"/>
  <c r="K14" i="6"/>
  <c r="J15" i="6"/>
  <c r="M16" i="6"/>
  <c r="K18" i="6"/>
  <c r="J19" i="6"/>
  <c r="K15" i="6"/>
  <c r="J16" i="6"/>
  <c r="K19" i="6"/>
  <c r="T4" i="6"/>
  <c r="T2" i="6"/>
  <c r="T3" i="6"/>
  <c r="S7" i="1" l="1" a="1"/>
  <c r="S9" i="1" s="1"/>
  <c r="Q10" i="1"/>
  <c r="Q7" i="1"/>
  <c r="L10" i="6"/>
  <c r="L5" i="6"/>
  <c r="L12" i="6"/>
  <c r="L14" i="6"/>
  <c r="L3" i="6"/>
  <c r="L6" i="6"/>
  <c r="L17" i="6"/>
  <c r="L15" i="6"/>
  <c r="L8" i="6"/>
  <c r="L18" i="6"/>
  <c r="L19" i="6"/>
  <c r="S8" i="1"/>
  <c r="L16" i="6"/>
  <c r="L2" i="6"/>
  <c r="L4" i="6"/>
  <c r="O4" i="6" a="1"/>
  <c r="O4" i="6" s="1"/>
  <c r="O2" i="6" a="1"/>
  <c r="O2" i="6" s="1"/>
  <c r="O5" i="6" a="1"/>
  <c r="O5" i="6" s="1"/>
  <c r="O8" i="6" a="1"/>
  <c r="O8" i="6" s="1"/>
  <c r="O6" i="6" a="1"/>
  <c r="O6" i="6" s="1"/>
  <c r="O3" i="6" a="1"/>
  <c r="O3" i="6" s="1"/>
  <c r="Q2" i="6"/>
  <c r="Q3" i="6"/>
  <c r="S10" i="1" l="1"/>
  <c r="S11" i="1"/>
  <c r="S7" i="1"/>
  <c r="W7" i="1" a="1"/>
  <c r="P6" i="6"/>
  <c r="Q6" i="6"/>
  <c r="P5" i="6"/>
  <c r="Q5" i="6"/>
  <c r="P4" i="6"/>
  <c r="Q4" i="6"/>
  <c r="P3" i="6"/>
  <c r="P2" i="6"/>
  <c r="Z7" i="1" l="1" a="1"/>
  <c r="Z10" i="1" s="1"/>
  <c r="AC7" i="1" a="1"/>
  <c r="AC9" i="1" s="1"/>
  <c r="Z11" i="1"/>
  <c r="Z9" i="1"/>
  <c r="Z8" i="1"/>
  <c r="Z7" i="1"/>
  <c r="Z12" i="1"/>
  <c r="W11" i="1"/>
  <c r="W10" i="1"/>
  <c r="W7" i="1"/>
  <c r="W9" i="1"/>
  <c r="W12" i="1"/>
  <c r="W8" i="1"/>
  <c r="AC8" i="1" l="1"/>
  <c r="AC12" i="1"/>
  <c r="AC11" i="1"/>
  <c r="AC10" i="1"/>
  <c r="AC7" i="1"/>
  <c r="S37" i="1"/>
  <c r="R37" i="1"/>
  <c r="Q37" i="1"/>
  <c r="P37" i="1"/>
  <c r="O37" i="1"/>
  <c r="N37" i="1"/>
  <c r="M37" i="1"/>
  <c r="L37" i="1"/>
  <c r="K37" i="1"/>
  <c r="J37" i="1"/>
  <c r="S36" i="1"/>
  <c r="R36" i="1"/>
  <c r="Q36" i="1"/>
  <c r="P36" i="1"/>
  <c r="O36" i="1"/>
  <c r="N36" i="1"/>
  <c r="M36" i="1"/>
  <c r="L36" i="1"/>
  <c r="K36" i="1"/>
  <c r="J36" i="1"/>
  <c r="S35" i="1"/>
  <c r="R35" i="1"/>
  <c r="Q35" i="1"/>
  <c r="P35" i="1"/>
  <c r="O35" i="1"/>
  <c r="N35" i="1"/>
  <c r="M35" i="1"/>
  <c r="L35" i="1"/>
  <c r="K35" i="1"/>
  <c r="J35" i="1"/>
  <c r="S34" i="1"/>
  <c r="R34" i="1"/>
  <c r="Q34" i="1"/>
  <c r="P34" i="1"/>
  <c r="O34" i="1"/>
  <c r="N34" i="1"/>
  <c r="M34" i="1"/>
  <c r="L34" i="1"/>
  <c r="K34" i="1"/>
  <c r="J34" i="1"/>
  <c r="S33" i="1"/>
  <c r="R33" i="1"/>
  <c r="Q33" i="1"/>
  <c r="P33" i="1"/>
  <c r="O33" i="1"/>
  <c r="N33" i="1"/>
  <c r="M33" i="1"/>
  <c r="L33" i="1"/>
  <c r="K33" i="1"/>
  <c r="J33" i="1"/>
  <c r="S32" i="1"/>
  <c r="R32" i="1"/>
  <c r="Q32" i="1"/>
  <c r="P32" i="1"/>
  <c r="O32" i="1"/>
  <c r="N32" i="1"/>
  <c r="M32" i="1"/>
  <c r="L32" i="1"/>
  <c r="K32" i="1"/>
  <c r="J32" i="1"/>
  <c r="S31" i="1"/>
  <c r="R31" i="1"/>
  <c r="Q31" i="1"/>
  <c r="P31" i="1"/>
  <c r="O31" i="1"/>
  <c r="N31" i="1"/>
  <c r="M31" i="1"/>
  <c r="L31" i="1"/>
  <c r="K31" i="1"/>
  <c r="J31" i="1"/>
  <c r="S30" i="1"/>
  <c r="R30" i="1"/>
  <c r="Q30" i="1"/>
  <c r="P30" i="1"/>
  <c r="O30" i="1"/>
  <c r="N30" i="1"/>
  <c r="M30" i="1"/>
  <c r="L30" i="1"/>
  <c r="K30" i="1"/>
  <c r="J30" i="1"/>
  <c r="S29" i="1"/>
  <c r="R29" i="1"/>
  <c r="Q29" i="1"/>
  <c r="P29" i="1"/>
  <c r="O29" i="1"/>
  <c r="N29" i="1"/>
  <c r="M29" i="1"/>
  <c r="L29" i="1"/>
  <c r="K29" i="1"/>
  <c r="J29" i="1"/>
  <c r="S28" i="1"/>
  <c r="R28" i="1"/>
  <c r="Q28" i="1"/>
  <c r="P28" i="1"/>
  <c r="O28" i="1"/>
  <c r="N28" i="1"/>
  <c r="M28" i="1"/>
  <c r="L28" i="1"/>
  <c r="K28" i="1"/>
  <c r="J28" i="1"/>
  <c r="S27" i="1"/>
  <c r="R27" i="1"/>
  <c r="Q27" i="1"/>
  <c r="P27" i="1"/>
  <c r="O27" i="1"/>
  <c r="N27" i="1"/>
  <c r="M27" i="1"/>
  <c r="L27" i="1"/>
  <c r="K27" i="1"/>
  <c r="J27" i="1"/>
  <c r="S26" i="1"/>
  <c r="R26" i="1"/>
  <c r="Q26" i="1"/>
  <c r="P26" i="1"/>
  <c r="O26" i="1"/>
  <c r="N26" i="1"/>
  <c r="M26" i="1"/>
  <c r="L26" i="1"/>
  <c r="K26" i="1"/>
  <c r="J26" i="1"/>
  <c r="S25" i="1"/>
  <c r="R25" i="1"/>
  <c r="Q25" i="1"/>
  <c r="P25" i="1"/>
  <c r="O25" i="1"/>
  <c r="N25" i="1"/>
  <c r="M25" i="1"/>
  <c r="L25" i="1"/>
  <c r="K25" i="1"/>
  <c r="J25" i="1"/>
  <c r="S24" i="1"/>
  <c r="R24" i="1"/>
  <c r="Q24" i="1"/>
  <c r="P24" i="1"/>
  <c r="O24" i="1"/>
  <c r="N24" i="1"/>
  <c r="M24" i="1"/>
  <c r="L24" i="1"/>
  <c r="K24" i="1"/>
  <c r="J24" i="1"/>
  <c r="S23" i="1"/>
  <c r="R23" i="1"/>
  <c r="Q23" i="1"/>
  <c r="P23" i="1"/>
  <c r="O23" i="1"/>
  <c r="N23" i="1"/>
  <c r="M23" i="1"/>
  <c r="L23" i="1"/>
  <c r="K23" i="1"/>
  <c r="J23" i="1"/>
  <c r="S22" i="1"/>
  <c r="R22" i="1"/>
  <c r="Q22" i="1"/>
  <c r="P22" i="1"/>
  <c r="O22" i="1"/>
  <c r="N22" i="1"/>
  <c r="M22" i="1"/>
  <c r="L22" i="1"/>
  <c r="K22" i="1"/>
  <c r="J22" i="1"/>
  <c r="S21" i="1"/>
  <c r="R21" i="1"/>
  <c r="Q21" i="1"/>
  <c r="P21" i="1"/>
  <c r="O21" i="1"/>
  <c r="N21" i="1"/>
  <c r="M21" i="1"/>
  <c r="L21" i="1"/>
  <c r="K21" i="1"/>
  <c r="J21" i="1"/>
  <c r="S20" i="1"/>
  <c r="R20" i="1"/>
  <c r="Q20" i="1"/>
  <c r="P20" i="1"/>
  <c r="O20" i="1"/>
  <c r="N20" i="1"/>
  <c r="M20" i="1"/>
  <c r="L20" i="1"/>
  <c r="K20" i="1"/>
  <c r="J20" i="1"/>
  <c r="S19" i="1"/>
  <c r="R19" i="1"/>
  <c r="Q19" i="1"/>
  <c r="P19" i="1"/>
  <c r="O19" i="1"/>
  <c r="N19" i="1"/>
  <c r="M19" i="1"/>
  <c r="L19" i="1"/>
  <c r="K19" i="1"/>
</calcChain>
</file>

<file path=xl/comments1.xml><?xml version="1.0" encoding="utf-8"?>
<comments xmlns="http://schemas.openxmlformats.org/spreadsheetml/2006/main">
  <authors>
    <author/>
  </authors>
  <commentList>
    <comment ref="L15" authorId="0" shapeId="0">
      <text>
        <r>
          <rPr>
            <sz val="10"/>
            <color rgb="FF000000"/>
            <rFont val="Arial"/>
            <scheme val="minor"/>
          </rPr>
          <t>This is a dynamic search bar that lets you search the information of the product/s by entering either the ID, Category, or the Name of the Product itself.</t>
        </r>
      </text>
    </comment>
    <comment ref="O15" authorId="0" shapeId="0">
      <text>
        <r>
          <rPr>
            <sz val="10"/>
            <color rgb="FF000000"/>
            <rFont val="Arial"/>
            <scheme val="minor"/>
          </rPr>
          <t>Filtered the data based on Expected Delivery month.</t>
        </r>
      </text>
    </comment>
    <comment ref="Q15" authorId="0" shapeId="0">
      <text>
        <r>
          <rPr>
            <sz val="10"/>
            <color rgb="FF000000"/>
            <rFont val="Arial"/>
            <scheme val="minor"/>
          </rPr>
          <t>Filtered the data based on Expected Delivery month.</t>
        </r>
      </text>
    </comment>
    <comment ref="S15" authorId="0" shapeId="0">
      <text>
        <r>
          <rPr>
            <sz val="10"/>
            <color rgb="FF000000"/>
            <rFont val="Arial"/>
            <scheme val="minor"/>
          </rPr>
          <t>Filtered the data based on Expected Delivery Year.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<sst xmlns="http://schemas.openxmlformats.org/spreadsheetml/2006/main" count="204" uniqueCount="117">
  <si>
    <r>
      <rPr>
        <b/>
        <sz val="20"/>
        <color rgb="FF365486"/>
        <rFont val="Barlow"/>
      </rPr>
      <t>KITCHEN</t>
    </r>
    <r>
      <rPr>
        <b/>
        <sz val="10"/>
        <color rgb="FF365486"/>
        <rFont val="Barlow"/>
      </rPr>
      <t xml:space="preserve">
</t>
    </r>
    <r>
      <rPr>
        <b/>
        <sz val="35"/>
        <color rgb="FF365486"/>
        <rFont val="Barlow"/>
      </rPr>
      <t>INVENTORY</t>
    </r>
  </si>
  <si>
    <t>LOW STOCK ALERTS ⚠️</t>
  </si>
  <si>
    <t>TOP 5 SELLING SUPPIERS 💲</t>
  </si>
  <si>
    <t>Item Name</t>
  </si>
  <si>
    <t>Current Stock</t>
  </si>
  <si>
    <t>Supplier</t>
  </si>
  <si>
    <t>Total Ordered</t>
  </si>
  <si>
    <t>Total Value</t>
  </si>
  <si>
    <t>TODAY IS . . .</t>
  </si>
  <si>
    <r>
      <rPr>
        <sz val="8"/>
        <color theme="1"/>
        <rFont val="Archivo"/>
      </rPr>
      <t xml:space="preserve">💡 </t>
    </r>
    <r>
      <rPr>
        <i/>
        <sz val="8"/>
        <color rgb="FF0000FF"/>
        <rFont val="Archivo"/>
      </rPr>
      <t>Except for the Search Bar and the drop downs, the whole Overview  tab is auto formulated.</t>
    </r>
  </si>
  <si>
    <t>INVENTORY OVERVIEW 📈</t>
  </si>
  <si>
    <t xml:space="preserve">SEARCH BAR 🔎 </t>
  </si>
  <si>
    <t xml:space="preserve">FROM:  </t>
  </si>
  <si>
    <t>Jan</t>
  </si>
  <si>
    <t xml:space="preserve">TO:  </t>
  </si>
  <si>
    <t>Dec</t>
  </si>
  <si>
    <t xml:space="preserve">YEAR: </t>
  </si>
  <si>
    <t xml:space="preserve">Total Inventory Value  </t>
  </si>
  <si>
    <t>Item ID</t>
  </si>
  <si>
    <t>Category</t>
  </si>
  <si>
    <t>Quantity</t>
  </si>
  <si>
    <t>Reorder Level</t>
  </si>
  <si>
    <t>Unit Price</t>
  </si>
  <si>
    <t>Last Ordered</t>
  </si>
  <si>
    <t>Expected Delivery</t>
  </si>
  <si>
    <t xml:space="preserve">Total Number of Items  </t>
  </si>
  <si>
    <t xml:space="preserve">Total Units in Stock  </t>
  </si>
  <si>
    <t xml:space="preserve">No. of Low on Stocks Items  </t>
  </si>
  <si>
    <t xml:space="preserve">Total Units Ordered  </t>
  </si>
  <si>
    <t>TOTAL VALUE PER CATEGORY</t>
  </si>
  <si>
    <t>NOTES</t>
  </si>
  <si>
    <t>1.
2.
3.</t>
  </si>
  <si>
    <t xml:space="preserve"> INVENTORY LIST</t>
  </si>
  <si>
    <t>ITM001</t>
  </si>
  <si>
    <t>Vegetables</t>
  </si>
  <si>
    <t>Fresh Tomatoes</t>
  </si>
  <si>
    <t>Farm Fresh Co.</t>
  </si>
  <si>
    <t>ITM002</t>
  </si>
  <si>
    <t>Meat</t>
  </si>
  <si>
    <t>Chicken Breast</t>
  </si>
  <si>
    <t>Butcher's Choice</t>
  </si>
  <si>
    <t>ITM003</t>
  </si>
  <si>
    <t>Dairy</t>
  </si>
  <si>
    <t>Fresh Milk</t>
  </si>
  <si>
    <t>Dairy Delights</t>
  </si>
  <si>
    <t>ITM004</t>
  </si>
  <si>
    <t>Condiments</t>
  </si>
  <si>
    <t>Soy Sauce</t>
  </si>
  <si>
    <t>Ocean Harvest</t>
  </si>
  <si>
    <t>ITM005</t>
  </si>
  <si>
    <t>Fresh Apples</t>
  </si>
  <si>
    <t>Golden Grains</t>
  </si>
  <si>
    <t>ITM006</t>
  </si>
  <si>
    <t>Shrimp</t>
  </si>
  <si>
    <t>Mediterranean Co.</t>
  </si>
  <si>
    <t>ITM007</t>
  </si>
  <si>
    <t>Greek Yogurt</t>
  </si>
  <si>
    <t>Orchard Organics</t>
  </si>
  <si>
    <t>ITM008</t>
  </si>
  <si>
    <t>Baker's Supply</t>
  </si>
  <si>
    <t>ITM009</t>
  </si>
  <si>
    <t>Local Farms</t>
  </si>
  <si>
    <t>ITM010</t>
  </si>
  <si>
    <t>Can-O-Taste Inc.</t>
  </si>
  <si>
    <t>ITM011</t>
  </si>
  <si>
    <t>RefreshCo</t>
  </si>
  <si>
    <t>ITM012</t>
  </si>
  <si>
    <t>Tomato Sauce</t>
  </si>
  <si>
    <t>Artisan Bakes</t>
  </si>
  <si>
    <t>ITM013</t>
  </si>
  <si>
    <t>Bananas</t>
  </si>
  <si>
    <t>Creamy Delights</t>
  </si>
  <si>
    <t>ITM014</t>
  </si>
  <si>
    <t>Seafood Express</t>
  </si>
  <si>
    <t>ITM015</t>
  </si>
  <si>
    <t>Grain Harvest</t>
  </si>
  <si>
    <t>ITM016</t>
  </si>
  <si>
    <t>Asian Flavors</t>
  </si>
  <si>
    <t>ITM017</t>
  </si>
  <si>
    <t>Tropical Farms</t>
  </si>
  <si>
    <t>ITM018</t>
  </si>
  <si>
    <t>Sweet Delights</t>
  </si>
  <si>
    <t>ITM019</t>
  </si>
  <si>
    <t>Poultry Haven</t>
  </si>
  <si>
    <t>ITM020</t>
  </si>
  <si>
    <t xml:space="preserve"> ORDER HISTORY</t>
  </si>
  <si>
    <t>Order ID</t>
  </si>
  <si>
    <t>Quantity Ordered</t>
  </si>
  <si>
    <t>Date Ordered</t>
  </si>
  <si>
    <t>Status</t>
  </si>
  <si>
    <t>A100</t>
  </si>
  <si>
    <t>In Transit</t>
  </si>
  <si>
    <t>A101</t>
  </si>
  <si>
    <t>Delivered</t>
  </si>
  <si>
    <t>A102</t>
  </si>
  <si>
    <t>A103</t>
  </si>
  <si>
    <t xml:space="preserve"> SUPPLIER CONTACTS</t>
  </si>
  <si>
    <t>CATEGORIES</t>
  </si>
  <si>
    <t>Olive Oil</t>
  </si>
  <si>
    <t>Turkey Breast</t>
  </si>
  <si>
    <t>Green Beans</t>
  </si>
  <si>
    <t>Chocolate Chips</t>
  </si>
  <si>
    <t>Quinoa</t>
  </si>
  <si>
    <t>Soda Cans</t>
  </si>
  <si>
    <t>Feb</t>
  </si>
  <si>
    <t>Mar</t>
  </si>
  <si>
    <t>Apr</t>
  </si>
  <si>
    <t>May</t>
  </si>
  <si>
    <t>Jun</t>
  </si>
  <si>
    <t>Jul</t>
  </si>
  <si>
    <t>category</t>
  </si>
  <si>
    <t>stock</t>
  </si>
  <si>
    <t>VALUE</t>
  </si>
  <si>
    <t>Aug</t>
  </si>
  <si>
    <t>Sep</t>
  </si>
  <si>
    <t>Oct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</si>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</sst>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&quot;$&quot;* #,##0.00_);_(&quot;$&quot;* \(#,##0.00\);_(&quot;$&quot;* &quot;-&quot;??_);_(@_)"/>
    <numFmt numFmtId="165" formatCode="&quot;$&quot;#,##0.00"/>
    <numFmt numFmtId="166" formatCode="mmmm&quot; &quot;d&quot;, &quot;yyyy"/>
    <numFmt numFmtId="167" formatCode="d&quot;-&quot;mmm&quot;-&quot;yyyy"/>
  </numFmts>
  <fonts count="34">
    <font>
      <sz val="10"/>
      <color rgb="FF000000"/>
      <name val="Arial"/>
      <scheme val="minor"/>
    </font>
    <font>
      <sz val="10"/>
      <color theme="1"/>
      <name val="Archivo"/>
    </font>
    <font>
      <b/>
      <sz val="12"/>
      <color rgb="FFDCD6F7"/>
      <name val="Archivo"/>
    </font>
    <font>
      <sz val="10"/>
      <name val="Arial"/>
    </font>
    <font>
      <b/>
      <sz val="10"/>
      <color rgb="FFFFFFFF"/>
      <name val="Archivo"/>
    </font>
    <font>
      <b/>
      <sz val="12"/>
      <color theme="1"/>
      <name val="Archivo"/>
    </font>
    <font>
      <b/>
      <sz val="16"/>
      <color rgb="FFCC0000"/>
      <name val="Archivo"/>
    </font>
    <font>
      <b/>
      <sz val="12"/>
      <color rgb="FF38761D"/>
      <name val="Archivo"/>
    </font>
    <font>
      <b/>
      <sz val="9"/>
      <color theme="1"/>
      <name val="Archivo"/>
    </font>
    <font>
      <b/>
      <sz val="18"/>
      <color theme="1"/>
      <name val="Archivo"/>
    </font>
    <font>
      <sz val="8"/>
      <color theme="1"/>
      <name val="Archivo"/>
    </font>
    <font>
      <b/>
      <sz val="20"/>
      <color rgb="FFDCD6F7"/>
      <name val="Archivo"/>
    </font>
    <font>
      <b/>
      <sz val="10"/>
      <color rgb="FFE3DFFD"/>
      <name val="Archivo"/>
    </font>
    <font>
      <b/>
      <sz val="11"/>
      <color rgb="FF0C134F"/>
      <name val="Archivo"/>
    </font>
    <font>
      <b/>
      <sz val="10"/>
      <color rgb="FFDCD6F7"/>
      <name val="Archivo"/>
    </font>
    <font>
      <b/>
      <sz val="11"/>
      <color theme="1"/>
      <name val="Archivo"/>
    </font>
    <font>
      <b/>
      <sz val="10"/>
      <color theme="1"/>
      <name val="Archivo"/>
    </font>
    <font>
      <b/>
      <sz val="14"/>
      <color rgb="FF38761D"/>
      <name val="Archivo"/>
    </font>
    <font>
      <b/>
      <sz val="14"/>
      <color theme="1"/>
      <name val="Archivo"/>
    </font>
    <font>
      <b/>
      <sz val="14"/>
      <color rgb="FFCC0000"/>
      <name val="Archivo"/>
    </font>
    <font>
      <b/>
      <sz val="14"/>
      <color rgb="FF0C134F"/>
      <name val="Archivo"/>
    </font>
    <font>
      <sz val="10"/>
      <color theme="1"/>
      <name val="Helvetica Neue"/>
    </font>
    <font>
      <b/>
      <sz val="20"/>
      <color rgb="FFFFFFFF"/>
      <name val="Helvetica Neue"/>
    </font>
    <font>
      <sz val="10"/>
      <color rgb="FFFFFFFF"/>
      <name val="Helvetica Neue"/>
    </font>
    <font>
      <b/>
      <sz val="11"/>
      <color theme="1"/>
      <name val="Helvetica Neue"/>
    </font>
    <font>
      <b/>
      <sz val="10"/>
      <color rgb="FFFFFFFF"/>
      <name val="Helvetica Neue"/>
    </font>
    <font>
      <sz val="10"/>
      <color theme="1"/>
      <name val="Arial"/>
      <scheme val="minor"/>
    </font>
    <font>
      <sz val="10"/>
      <color rgb="FFDCD6F7"/>
      <name val="Arial"/>
      <scheme val="minor"/>
    </font>
    <font>
      <b/>
      <sz val="11"/>
      <color rgb="FFFFFFFF"/>
      <name val="Helvetica Neue"/>
    </font>
    <font>
      <b/>
      <sz val="10"/>
      <color rgb="FFFFFFFF"/>
      <name val="Arial"/>
      <scheme val="minor"/>
    </font>
    <font>
      <b/>
      <sz val="20"/>
      <color rgb="FF365486"/>
      <name val="Barlow"/>
    </font>
    <font>
      <b/>
      <sz val="10"/>
      <color rgb="FF365486"/>
      <name val="Barlow"/>
    </font>
    <font>
      <b/>
      <sz val="35"/>
      <color rgb="FF365486"/>
      <name val="Barlow"/>
    </font>
    <font>
      <i/>
      <sz val="8"/>
      <color rgb="FF0000FF"/>
      <name val="Archivo"/>
    </font>
  </fonts>
  <fills count="8">
    <fill>
      <patternFill patternType="none"/>
    </fill>
    <fill>
      <patternFill patternType="gray125"/>
    </fill>
    <fill>
      <patternFill patternType="solid">
        <fgColor rgb="FFF7FFFF"/>
        <bgColor rgb="FFF7FFFF"/>
      </patternFill>
    </fill>
    <fill>
      <patternFill patternType="solid">
        <fgColor rgb="FF0F1035"/>
        <bgColor rgb="FF0F1035"/>
      </patternFill>
    </fill>
    <fill>
      <patternFill patternType="solid">
        <fgColor rgb="FF365486"/>
        <bgColor rgb="FF365486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  <fill>
      <patternFill patternType="solid">
        <fgColor rgb="FF424874"/>
        <bgColor rgb="FF424874"/>
      </patternFill>
    </fill>
  </fills>
  <borders count="54">
    <border>
      <left/>
      <right/>
      <top/>
      <bottom/>
      <diagonal/>
    </border>
    <border>
      <left/>
      <right style="thin">
        <color rgb="FF0C134F"/>
      </right>
      <top/>
      <bottom/>
      <diagonal/>
    </border>
    <border>
      <left style="medium">
        <color rgb="FF0C134F"/>
      </left>
      <right/>
      <top style="medium">
        <color rgb="FF0C134F"/>
      </top>
      <bottom/>
      <diagonal/>
    </border>
    <border>
      <left/>
      <right/>
      <top style="medium">
        <color rgb="FF0C134F"/>
      </top>
      <bottom/>
      <diagonal/>
    </border>
    <border>
      <left/>
      <right style="medium">
        <color rgb="FF0C134F"/>
      </right>
      <top style="medium">
        <color rgb="FF0C134F"/>
      </top>
      <bottom/>
      <diagonal/>
    </border>
    <border>
      <left style="medium">
        <color rgb="FF0C134F"/>
      </left>
      <right/>
      <top/>
      <bottom/>
      <diagonal/>
    </border>
    <border>
      <left style="thin">
        <color rgb="FF0C134F"/>
      </left>
      <right/>
      <top style="thin">
        <color rgb="FF0C134F"/>
      </top>
      <bottom/>
      <diagonal/>
    </border>
    <border>
      <left/>
      <right/>
      <top style="thin">
        <color rgb="FF0C134F"/>
      </top>
      <bottom/>
      <diagonal/>
    </border>
    <border>
      <left/>
      <right style="thin">
        <color rgb="FF0C134F"/>
      </right>
      <top style="thin">
        <color rgb="FF0C134F"/>
      </top>
      <bottom/>
      <diagonal/>
    </border>
    <border>
      <left/>
      <right style="thin">
        <color rgb="FF424874"/>
      </right>
      <top/>
      <bottom/>
      <diagonal/>
    </border>
    <border>
      <left/>
      <right/>
      <top style="thin">
        <color rgb="FF424874"/>
      </top>
      <bottom/>
      <diagonal/>
    </border>
    <border>
      <left style="thin">
        <color rgb="FF424874"/>
      </left>
      <right/>
      <top style="thin">
        <color rgb="FF424874"/>
      </top>
      <bottom/>
      <diagonal/>
    </border>
    <border>
      <left/>
      <right style="thin">
        <color rgb="FF0C134F"/>
      </right>
      <top style="thin">
        <color rgb="FF424874"/>
      </top>
      <bottom/>
      <diagonal/>
    </border>
    <border>
      <left/>
      <right style="medium">
        <color rgb="FF0C134F"/>
      </right>
      <top/>
      <bottom/>
      <diagonal/>
    </border>
    <border>
      <left style="thin">
        <color rgb="FF0C134F"/>
      </left>
      <right/>
      <top/>
      <bottom/>
      <diagonal/>
    </border>
    <border>
      <left style="thin">
        <color rgb="FF424874"/>
      </left>
      <right/>
      <top/>
      <bottom/>
      <diagonal/>
    </border>
    <border>
      <left style="thin">
        <color rgb="FF0C134F"/>
      </left>
      <right/>
      <top/>
      <bottom style="thin">
        <color rgb="FF0C134F"/>
      </bottom>
      <diagonal/>
    </border>
    <border>
      <left/>
      <right/>
      <top/>
      <bottom style="thin">
        <color rgb="FF0C134F"/>
      </bottom>
      <diagonal/>
    </border>
    <border>
      <left/>
      <right style="thin">
        <color rgb="FF0C134F"/>
      </right>
      <top/>
      <bottom style="thin">
        <color rgb="FF0C134F"/>
      </bottom>
      <diagonal/>
    </border>
    <border>
      <left/>
      <right/>
      <top/>
      <bottom style="thin">
        <color rgb="FF424874"/>
      </bottom>
      <diagonal/>
    </border>
    <border>
      <left/>
      <right style="thin">
        <color rgb="FF0C134F"/>
      </right>
      <top/>
      <bottom style="thin">
        <color rgb="FF424874"/>
      </bottom>
      <diagonal/>
    </border>
    <border>
      <left/>
      <right/>
      <top/>
      <bottom style="thick">
        <color rgb="FF000000"/>
      </bottom>
      <diagonal/>
    </border>
    <border>
      <left style="thin">
        <color rgb="FF424874"/>
      </left>
      <right/>
      <top style="thin">
        <color rgb="FF424874"/>
      </top>
      <bottom style="thin">
        <color rgb="FF424874"/>
      </bottom>
      <diagonal/>
    </border>
    <border>
      <left/>
      <right style="thin">
        <color rgb="FF424874"/>
      </right>
      <top style="thin">
        <color rgb="FF424874"/>
      </top>
      <bottom style="thin">
        <color rgb="FF424874"/>
      </bottom>
      <diagonal/>
    </border>
    <border>
      <left/>
      <right/>
      <top style="thin">
        <color rgb="FF424874"/>
      </top>
      <bottom style="thin">
        <color rgb="FF424874"/>
      </bottom>
      <diagonal/>
    </border>
    <border>
      <left/>
      <right style="thin">
        <color rgb="FF424874"/>
      </right>
      <top style="thin">
        <color rgb="FF424874"/>
      </top>
      <bottom/>
      <diagonal/>
    </border>
    <border>
      <left style="medium">
        <color rgb="FFA6B1E1"/>
      </left>
      <right/>
      <top style="medium">
        <color rgb="FFA6B1E1"/>
      </top>
      <bottom style="medium">
        <color rgb="FFA6B1E1"/>
      </bottom>
      <diagonal/>
    </border>
    <border>
      <left/>
      <right style="medium">
        <color rgb="FFA6B1E1"/>
      </right>
      <top style="medium">
        <color rgb="FFA6B1E1"/>
      </top>
      <bottom style="medium">
        <color rgb="FFA6B1E1"/>
      </bottom>
      <diagonal/>
    </border>
    <border>
      <left style="medium">
        <color rgb="FFA6B1E1"/>
      </left>
      <right style="medium">
        <color rgb="FFA6B1E1"/>
      </right>
      <top style="medium">
        <color rgb="FFA6B1E1"/>
      </top>
      <bottom style="medium">
        <color rgb="FFA6B1E1"/>
      </bottom>
      <diagonal/>
    </border>
    <border>
      <left style="thin">
        <color rgb="FF424874"/>
      </left>
      <right style="thin">
        <color rgb="FF424874"/>
      </right>
      <top style="thin">
        <color rgb="FF424874"/>
      </top>
      <bottom/>
      <diagonal/>
    </border>
    <border>
      <left/>
      <right/>
      <top/>
      <bottom style="medium">
        <color rgb="FFA6B1E1"/>
      </bottom>
      <diagonal/>
    </border>
    <border>
      <left style="thin">
        <color rgb="FF424874"/>
      </left>
      <right style="thin">
        <color rgb="FF424874"/>
      </right>
      <top/>
      <bottom style="thin">
        <color rgb="FF424874"/>
      </bottom>
      <diagonal/>
    </border>
    <border>
      <left style="thin">
        <color rgb="FF424874"/>
      </left>
      <right style="thin">
        <color rgb="FFDCD6F7"/>
      </right>
      <top/>
      <bottom style="thin">
        <color rgb="FFDCD6F7"/>
      </bottom>
      <diagonal/>
    </border>
    <border>
      <left style="thin">
        <color rgb="FFDCD6F7"/>
      </left>
      <right style="thin">
        <color rgb="FFDCD6F7"/>
      </right>
      <top/>
      <bottom style="thin">
        <color rgb="FFDCD6F7"/>
      </bottom>
      <diagonal/>
    </border>
    <border>
      <left style="thin">
        <color rgb="FF424874"/>
      </left>
      <right style="thin">
        <color rgb="FFDCD6F7"/>
      </right>
      <top style="thin">
        <color rgb="FFDCD6F7"/>
      </top>
      <bottom style="thin">
        <color rgb="FFDCD6F7"/>
      </bottom>
      <diagonal/>
    </border>
    <border>
      <left style="thin">
        <color rgb="FFDCD6F7"/>
      </left>
      <right style="thin">
        <color rgb="FFDCD6F7"/>
      </right>
      <top style="thin">
        <color rgb="FFDCD6F7"/>
      </top>
      <bottom style="thin">
        <color rgb="FFDCD6F7"/>
      </bottom>
      <diagonal/>
    </border>
    <border>
      <left style="thin">
        <color rgb="FF424874"/>
      </left>
      <right/>
      <top/>
      <bottom style="thin">
        <color rgb="FF424874"/>
      </bottom>
      <diagonal/>
    </border>
    <border>
      <left/>
      <right style="thin">
        <color rgb="FF424874"/>
      </right>
      <top/>
      <bottom style="thin">
        <color rgb="FF424874"/>
      </bottom>
      <diagonal/>
    </border>
    <border>
      <left style="thin">
        <color rgb="FF424874"/>
      </left>
      <right/>
      <top style="thin">
        <color rgb="FF0C134F"/>
      </top>
      <bottom/>
      <diagonal/>
    </border>
    <border>
      <left style="thin">
        <color rgb="FF424874"/>
      </left>
      <right style="thin">
        <color rgb="FFDCD6F7"/>
      </right>
      <top style="thin">
        <color rgb="FFDCD6F7"/>
      </top>
      <bottom style="thin">
        <color rgb="FF424874"/>
      </bottom>
      <diagonal/>
    </border>
    <border>
      <left style="thin">
        <color rgb="FFDCD6F7"/>
      </left>
      <right style="thin">
        <color rgb="FFDCD6F7"/>
      </right>
      <top style="thin">
        <color rgb="FFDCD6F7"/>
      </top>
      <bottom style="thin">
        <color rgb="FF424874"/>
      </bottom>
      <diagonal/>
    </border>
    <border>
      <left style="medium">
        <color rgb="FF0C134F"/>
      </left>
      <right/>
      <top/>
      <bottom style="medium">
        <color rgb="FF0C134F"/>
      </bottom>
      <diagonal/>
    </border>
    <border>
      <left/>
      <right/>
      <top/>
      <bottom style="medium">
        <color rgb="FF0C134F"/>
      </bottom>
      <diagonal/>
    </border>
    <border>
      <left/>
      <right style="medium">
        <color rgb="FF0C134F"/>
      </right>
      <top/>
      <bottom style="medium">
        <color rgb="FF0C134F"/>
      </bottom>
      <diagonal/>
    </border>
    <border>
      <left style="thin">
        <color rgb="FF424874"/>
      </left>
      <right/>
      <top/>
      <bottom style="medium">
        <color rgb="FFA6B1E1"/>
      </bottom>
      <diagonal/>
    </border>
    <border>
      <left/>
      <right style="thin">
        <color rgb="FF424874"/>
      </right>
      <top/>
      <bottom style="medium">
        <color rgb="FFA6B1E1"/>
      </bottom>
      <diagonal/>
    </border>
    <border>
      <left style="thin">
        <color rgb="FFDCD6F7"/>
      </left>
      <right style="thin">
        <color rgb="FF424874"/>
      </right>
      <top/>
      <bottom style="thin">
        <color rgb="FFDCD6F7"/>
      </bottom>
      <diagonal/>
    </border>
    <border>
      <left style="thin">
        <color rgb="FFDCD6F7"/>
      </left>
      <right style="thin">
        <color rgb="FF424874"/>
      </right>
      <top style="thin">
        <color rgb="FFDCD6F7"/>
      </top>
      <bottom style="thin">
        <color rgb="FFDCD6F7"/>
      </bottom>
      <diagonal/>
    </border>
    <border>
      <left style="thin">
        <color rgb="FFDCD6F7"/>
      </left>
      <right style="thin">
        <color rgb="FFDCD6F7"/>
      </right>
      <top/>
      <bottom style="thin">
        <color rgb="FF424874"/>
      </bottom>
      <diagonal/>
    </border>
    <border>
      <left style="thin">
        <color rgb="FFDCD6F7"/>
      </left>
      <right style="thin">
        <color rgb="FF424874"/>
      </right>
      <top style="thin">
        <color rgb="FFDCD6F7"/>
      </top>
      <bottom style="thin">
        <color rgb="FF424874"/>
      </bottom>
      <diagonal/>
    </border>
    <border>
      <left style="thin">
        <color rgb="FF0C134F"/>
      </left>
      <right style="thin">
        <color indexed="64"/>
      </right>
      <top style="thin">
        <color rgb="FF0C134F"/>
      </top>
      <bottom style="thin">
        <color rgb="FF0C134F"/>
      </bottom>
      <diagonal/>
    </border>
    <border>
      <left style="thin">
        <color rgb="FFDCD6F7"/>
      </left>
      <right style="thin">
        <color indexed="64"/>
      </right>
      <top/>
      <bottom style="thin">
        <color rgb="FFDCD6F7"/>
      </bottom>
      <diagonal/>
    </border>
    <border>
      <left style="thin">
        <color rgb="FFDCD6F7"/>
      </left>
      <right style="thin">
        <color indexed="64"/>
      </right>
      <top style="thin">
        <color rgb="FFDCD6F7"/>
      </top>
      <bottom style="thin">
        <color rgb="FFDCD6F7"/>
      </bottom>
      <diagonal/>
    </border>
    <border>
      <left style="thin">
        <color rgb="FFDCD6F7"/>
      </left>
      <right style="thin">
        <color indexed="64"/>
      </right>
      <top style="thin">
        <color rgb="FFDCD6F7"/>
      </top>
      <bottom style="thin">
        <color rgb="FF42487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2" borderId="9" xfId="0" applyFont="1" applyFill="1" applyBorder="1"/>
    <xf numFmtId="0" fontId="2" fillId="3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1" fillId="2" borderId="13" xfId="0" applyFont="1" applyFill="1" applyBorder="1"/>
    <xf numFmtId="0" fontId="2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/>
    <xf numFmtId="0" fontId="4" fillId="4" borderId="19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/>
    <xf numFmtId="0" fontId="1" fillId="2" borderId="19" xfId="0" applyFont="1" applyFill="1" applyBorder="1"/>
    <xf numFmtId="0" fontId="1" fillId="2" borderId="20" xfId="0" applyFont="1" applyFill="1" applyBorder="1"/>
    <xf numFmtId="0" fontId="1" fillId="3" borderId="11" xfId="0" applyFont="1" applyFill="1" applyBorder="1"/>
    <xf numFmtId="0" fontId="1" fillId="3" borderId="25" xfId="0" applyFont="1" applyFill="1" applyBorder="1"/>
    <xf numFmtId="0" fontId="1" fillId="3" borderId="10" xfId="0" applyFont="1" applyFill="1" applyBorder="1"/>
    <xf numFmtId="0" fontId="11" fillId="3" borderId="10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1" fillId="3" borderId="15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right" vertical="center"/>
    </xf>
    <xf numFmtId="0" fontId="14" fillId="3" borderId="0" xfId="0" applyFont="1" applyFill="1" applyAlignment="1">
      <alignment horizontal="right" vertical="center"/>
    </xf>
    <xf numFmtId="0" fontId="15" fillId="5" borderId="2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vertical="center"/>
    </xf>
    <xf numFmtId="0" fontId="1" fillId="3" borderId="15" xfId="0" applyFont="1" applyFill="1" applyBorder="1"/>
    <xf numFmtId="0" fontId="1" fillId="3" borderId="9" xfId="0" applyFont="1" applyFill="1" applyBorder="1"/>
    <xf numFmtId="0" fontId="11" fillId="3" borderId="0" xfId="0" applyFont="1" applyFill="1" applyAlignment="1">
      <alignment horizontal="left" vertical="center"/>
    </xf>
    <xf numFmtId="0" fontId="11" fillId="3" borderId="9" xfId="0" applyFont="1" applyFill="1" applyBorder="1" applyAlignment="1">
      <alignment horizontal="left" vertical="center"/>
    </xf>
    <xf numFmtId="0" fontId="1" fillId="2" borderId="15" xfId="0" applyFont="1" applyFill="1" applyBorder="1"/>
    <xf numFmtId="0" fontId="15" fillId="0" borderId="0" xfId="0" applyFont="1"/>
    <xf numFmtId="0" fontId="15" fillId="2" borderId="5" xfId="0" applyFont="1" applyFill="1" applyBorder="1"/>
    <xf numFmtId="0" fontId="15" fillId="2" borderId="15" xfId="0" applyFont="1" applyFill="1" applyBorder="1"/>
    <xf numFmtId="0" fontId="16" fillId="2" borderId="0" xfId="0" applyFont="1" applyFill="1" applyAlignment="1">
      <alignment horizontal="right" vertical="center" wrapText="1"/>
    </xf>
    <xf numFmtId="0" fontId="15" fillId="2" borderId="0" xfId="0" applyFont="1" applyFill="1" applyAlignment="1">
      <alignment horizontal="right" vertical="center" wrapText="1"/>
    </xf>
    <xf numFmtId="0" fontId="15" fillId="2" borderId="9" xfId="0" applyFont="1" applyFill="1" applyBorder="1"/>
    <xf numFmtId="0" fontId="15" fillId="2" borderId="0" xfId="0" applyFont="1" applyFill="1"/>
    <xf numFmtId="0" fontId="16" fillId="2" borderId="30" xfId="0" applyFont="1" applyFill="1" applyBorder="1" applyAlignment="1">
      <alignment horizontal="center" vertical="center"/>
    </xf>
    <xf numFmtId="0" fontId="15" fillId="2" borderId="13" xfId="0" applyFont="1" applyFill="1" applyBorder="1"/>
    <xf numFmtId="0" fontId="1" fillId="5" borderId="33" xfId="0" applyFont="1" applyFill="1" applyBorder="1" applyAlignment="1">
      <alignment horizontal="center" vertical="center"/>
    </xf>
    <xf numFmtId="3" fontId="1" fillId="5" borderId="33" xfId="0" applyNumberFormat="1" applyFont="1" applyFill="1" applyBorder="1" applyAlignment="1">
      <alignment horizontal="center" vertical="center"/>
    </xf>
    <xf numFmtId="164" fontId="1" fillId="5" borderId="33" xfId="0" applyNumberFormat="1" applyFont="1" applyFill="1" applyBorder="1" applyAlignment="1">
      <alignment horizontal="center" vertical="center"/>
    </xf>
    <xf numFmtId="165" fontId="1" fillId="5" borderId="33" xfId="0" applyNumberFormat="1" applyFont="1" applyFill="1" applyBorder="1" applyAlignment="1">
      <alignment horizontal="center" vertical="center"/>
    </xf>
    <xf numFmtId="167" fontId="1" fillId="5" borderId="33" xfId="0" applyNumberFormat="1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3" fontId="1" fillId="6" borderId="35" xfId="0" applyNumberFormat="1" applyFont="1" applyFill="1" applyBorder="1" applyAlignment="1">
      <alignment horizontal="center" vertical="center"/>
    </xf>
    <xf numFmtId="164" fontId="1" fillId="6" borderId="35" xfId="0" applyNumberFormat="1" applyFont="1" applyFill="1" applyBorder="1" applyAlignment="1">
      <alignment horizontal="center" vertical="center"/>
    </xf>
    <xf numFmtId="165" fontId="1" fillId="6" borderId="35" xfId="0" applyNumberFormat="1" applyFont="1" applyFill="1" applyBorder="1" applyAlignment="1">
      <alignment horizontal="center" vertical="center"/>
    </xf>
    <xf numFmtId="167" fontId="1" fillId="6" borderId="35" xfId="0" applyNumberFormat="1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3" fontId="1" fillId="5" borderId="35" xfId="0" applyNumberFormat="1" applyFont="1" applyFill="1" applyBorder="1" applyAlignment="1">
      <alignment horizontal="center" vertical="center"/>
    </xf>
    <xf numFmtId="164" fontId="1" fillId="5" borderId="35" xfId="0" applyNumberFormat="1" applyFont="1" applyFill="1" applyBorder="1" applyAlignment="1">
      <alignment horizontal="center" vertical="center"/>
    </xf>
    <xf numFmtId="165" fontId="1" fillId="5" borderId="35" xfId="0" applyNumberFormat="1" applyFont="1" applyFill="1" applyBorder="1" applyAlignment="1">
      <alignment horizontal="center" vertical="center"/>
    </xf>
    <xf numFmtId="167" fontId="1" fillId="5" borderId="35" xfId="0" applyNumberFormat="1" applyFont="1" applyFill="1" applyBorder="1" applyAlignment="1">
      <alignment horizontal="center" vertical="center"/>
    </xf>
    <xf numFmtId="0" fontId="1" fillId="2" borderId="36" xfId="0" applyFont="1" applyFill="1" applyBorder="1"/>
    <xf numFmtId="0" fontId="15" fillId="2" borderId="19" xfId="0" applyFont="1" applyFill="1" applyBorder="1" applyAlignment="1">
      <alignment horizontal="center" vertical="center" wrapText="1"/>
    </xf>
    <xf numFmtId="0" fontId="1" fillId="2" borderId="37" xfId="0" applyFont="1" applyFill="1" applyBorder="1"/>
    <xf numFmtId="0" fontId="15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1" fillId="3" borderId="6" xfId="0" applyFont="1" applyFill="1" applyBorder="1"/>
    <xf numFmtId="0" fontId="1" fillId="3" borderId="8" xfId="0" applyFont="1" applyFill="1" applyBorder="1"/>
    <xf numFmtId="0" fontId="1" fillId="3" borderId="14" xfId="0" applyFont="1" applyFill="1" applyBorder="1"/>
    <xf numFmtId="0" fontId="1" fillId="3" borderId="1" xfId="0" applyFont="1" applyFill="1" applyBorder="1"/>
    <xf numFmtId="0" fontId="1" fillId="5" borderId="40" xfId="0" applyFont="1" applyFill="1" applyBorder="1" applyAlignment="1">
      <alignment horizontal="center" vertical="center"/>
    </xf>
    <xf numFmtId="3" fontId="1" fillId="5" borderId="40" xfId="0" applyNumberFormat="1" applyFont="1" applyFill="1" applyBorder="1" applyAlignment="1">
      <alignment horizontal="center" vertical="center"/>
    </xf>
    <xf numFmtId="164" fontId="1" fillId="5" borderId="40" xfId="0" applyNumberFormat="1" applyFont="1" applyFill="1" applyBorder="1" applyAlignment="1">
      <alignment horizontal="center" vertical="center"/>
    </xf>
    <xf numFmtId="165" fontId="1" fillId="5" borderId="40" xfId="0" applyNumberFormat="1" applyFont="1" applyFill="1" applyBorder="1" applyAlignment="1">
      <alignment horizontal="center" vertical="center"/>
    </xf>
    <xf numFmtId="167" fontId="1" fillId="5" borderId="40" xfId="0" applyNumberFormat="1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41" xfId="0" applyFont="1" applyFill="1" applyBorder="1"/>
    <xf numFmtId="0" fontId="1" fillId="2" borderId="42" xfId="0" applyFont="1" applyFill="1" applyBorder="1"/>
    <xf numFmtId="0" fontId="1" fillId="2" borderId="42" xfId="0" applyFont="1" applyFill="1" applyBorder="1" applyAlignment="1">
      <alignment horizontal="center" vertical="center"/>
    </xf>
    <xf numFmtId="0" fontId="1" fillId="2" borderId="43" xfId="0" applyFont="1" applyFill="1" applyBorder="1"/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3" fillId="4" borderId="15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3" fillId="4" borderId="9" xfId="0" applyFont="1" applyFill="1" applyBorder="1" applyAlignment="1">
      <alignment horizontal="center" vertical="center"/>
    </xf>
    <xf numFmtId="0" fontId="24" fillId="0" borderId="0" xfId="0" applyFont="1"/>
    <xf numFmtId="0" fontId="25" fillId="4" borderId="44" xfId="0" applyFont="1" applyFill="1" applyBorder="1" applyAlignment="1">
      <alignment horizontal="center" vertical="center"/>
    </xf>
    <xf numFmtId="0" fontId="25" fillId="4" borderId="30" xfId="0" applyFont="1" applyFill="1" applyBorder="1" applyAlignment="1">
      <alignment horizontal="center" vertical="center"/>
    </xf>
    <xf numFmtId="0" fontId="25" fillId="4" borderId="45" xfId="0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3" fontId="21" fillId="0" borderId="33" xfId="0" applyNumberFormat="1" applyFont="1" applyBorder="1" applyAlignment="1">
      <alignment horizontal="center" vertical="center"/>
    </xf>
    <xf numFmtId="164" fontId="21" fillId="0" borderId="33" xfId="0" applyNumberFormat="1" applyFont="1" applyBorder="1" applyAlignment="1">
      <alignment horizontal="center" vertical="center"/>
    </xf>
    <xf numFmtId="165" fontId="21" fillId="0" borderId="33" xfId="0" applyNumberFormat="1" applyFont="1" applyBorder="1" applyAlignment="1">
      <alignment horizontal="center" vertical="center"/>
    </xf>
    <xf numFmtId="167" fontId="21" fillId="0" borderId="33" xfId="0" applyNumberFormat="1" applyFont="1" applyBorder="1" applyAlignment="1">
      <alignment horizontal="center" vertical="center"/>
    </xf>
    <xf numFmtId="167" fontId="21" fillId="0" borderId="46" xfId="0" applyNumberFormat="1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3" fontId="21" fillId="0" borderId="35" xfId="0" applyNumberFormat="1" applyFont="1" applyBorder="1" applyAlignment="1">
      <alignment horizontal="center" vertical="center"/>
    </xf>
    <xf numFmtId="164" fontId="21" fillId="0" borderId="35" xfId="0" applyNumberFormat="1" applyFont="1" applyBorder="1" applyAlignment="1">
      <alignment horizontal="center" vertical="center"/>
    </xf>
    <xf numFmtId="167" fontId="21" fillId="0" borderId="35" xfId="0" applyNumberFormat="1" applyFont="1" applyBorder="1" applyAlignment="1">
      <alignment horizontal="center" vertical="center"/>
    </xf>
    <xf numFmtId="167" fontId="21" fillId="0" borderId="47" xfId="0" applyNumberFormat="1" applyFont="1" applyBorder="1" applyAlignment="1">
      <alignment horizontal="center" vertical="center"/>
    </xf>
    <xf numFmtId="0" fontId="21" fillId="6" borderId="35" xfId="0" applyFont="1" applyFill="1" applyBorder="1" applyAlignment="1">
      <alignment horizontal="center"/>
    </xf>
    <xf numFmtId="0" fontId="21" fillId="5" borderId="33" xfId="0" applyFont="1" applyFill="1" applyBorder="1" applyAlignment="1">
      <alignment horizontal="center"/>
    </xf>
    <xf numFmtId="0" fontId="21" fillId="6" borderId="33" xfId="0" applyFont="1" applyFill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164" fontId="21" fillId="0" borderId="40" xfId="0" applyNumberFormat="1" applyFont="1" applyBorder="1" applyAlignment="1">
      <alignment horizontal="center" vertical="center"/>
    </xf>
    <xf numFmtId="165" fontId="21" fillId="0" borderId="48" xfId="0" applyNumberFormat="1" applyFont="1" applyBorder="1" applyAlignment="1">
      <alignment horizontal="center" vertical="center"/>
    </xf>
    <xf numFmtId="167" fontId="21" fillId="0" borderId="40" xfId="0" applyNumberFormat="1" applyFont="1" applyBorder="1" applyAlignment="1">
      <alignment horizontal="center" vertical="center"/>
    </xf>
    <xf numFmtId="167" fontId="21" fillId="0" borderId="49" xfId="0" applyNumberFormat="1" applyFont="1" applyBorder="1" applyAlignment="1">
      <alignment horizontal="center" vertical="center"/>
    </xf>
    <xf numFmtId="164" fontId="21" fillId="0" borderId="46" xfId="0" applyNumberFormat="1" applyFont="1" applyBorder="1" applyAlignment="1">
      <alignment horizontal="center" vertical="center"/>
    </xf>
    <xf numFmtId="164" fontId="21" fillId="0" borderId="47" xfId="0" applyNumberFormat="1" applyFont="1" applyBorder="1" applyAlignment="1">
      <alignment horizontal="center" vertical="center"/>
    </xf>
    <xf numFmtId="164" fontId="21" fillId="0" borderId="49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9" fillId="4" borderId="44" xfId="0" applyFont="1" applyFill="1" applyBorder="1" applyAlignment="1">
      <alignment horizontal="center" vertical="center"/>
    </xf>
    <xf numFmtId="0" fontId="29" fillId="4" borderId="30" xfId="0" applyFont="1" applyFill="1" applyBorder="1" applyAlignment="1">
      <alignment horizontal="center" vertical="center"/>
    </xf>
    <xf numFmtId="0" fontId="29" fillId="4" borderId="45" xfId="0" applyFont="1" applyFill="1" applyBorder="1" applyAlignment="1">
      <alignment horizontal="center" vertical="center"/>
    </xf>
    <xf numFmtId="0" fontId="26" fillId="0" borderId="32" xfId="0" applyFont="1" applyBorder="1" applyAlignment="1">
      <alignment horizontal="center" vertical="center"/>
    </xf>
    <xf numFmtId="0" fontId="26" fillId="0" borderId="33" xfId="0" applyFont="1" applyBorder="1" applyAlignment="1">
      <alignment horizontal="center" vertical="center"/>
    </xf>
    <xf numFmtId="0" fontId="26" fillId="0" borderId="46" xfId="0" applyFont="1" applyBorder="1" applyAlignment="1">
      <alignment horizontal="center" vertical="center"/>
    </xf>
    <xf numFmtId="0" fontId="26" fillId="0" borderId="34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47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0" borderId="0" xfId="0" applyFont="1"/>
    <xf numFmtId="165" fontId="26" fillId="0" borderId="0" xfId="0" applyNumberFormat="1" applyFont="1"/>
    <xf numFmtId="0" fontId="6" fillId="5" borderId="50" xfId="0" applyFont="1" applyFill="1" applyBorder="1" applyAlignment="1">
      <alignment horizontal="center" vertical="center"/>
    </xf>
    <xf numFmtId="167" fontId="1" fillId="5" borderId="51" xfId="0" applyNumberFormat="1" applyFont="1" applyFill="1" applyBorder="1" applyAlignment="1">
      <alignment horizontal="center" vertical="center"/>
    </xf>
    <xf numFmtId="167" fontId="1" fillId="6" borderId="52" xfId="0" applyNumberFormat="1" applyFont="1" applyFill="1" applyBorder="1" applyAlignment="1">
      <alignment horizontal="center" vertical="center"/>
    </xf>
    <xf numFmtId="167" fontId="1" fillId="5" borderId="52" xfId="0" applyNumberFormat="1" applyFont="1" applyFill="1" applyBorder="1" applyAlignment="1">
      <alignment horizontal="center" vertical="center"/>
    </xf>
    <xf numFmtId="167" fontId="1" fillId="5" borderId="53" xfId="0" applyNumberFormat="1" applyFont="1" applyFill="1" applyBorder="1" applyAlignment="1">
      <alignment horizontal="center" vertical="center"/>
    </xf>
    <xf numFmtId="0" fontId="16" fillId="5" borderId="32" xfId="0" applyFont="1" applyFill="1" applyBorder="1" applyAlignment="1">
      <alignment horizontal="left" vertical="center"/>
    </xf>
    <xf numFmtId="0" fontId="16" fillId="6" borderId="34" xfId="0" applyFont="1" applyFill="1" applyBorder="1" applyAlignment="1">
      <alignment horizontal="left" vertical="center"/>
    </xf>
    <xf numFmtId="0" fontId="16" fillId="5" borderId="34" xfId="0" applyFont="1" applyFill="1" applyBorder="1" applyAlignment="1">
      <alignment horizontal="left" vertical="center"/>
    </xf>
    <xf numFmtId="0" fontId="16" fillId="5" borderId="39" xfId="0" applyFont="1" applyFill="1" applyBorder="1" applyAlignment="1">
      <alignment horizontal="left" vertical="center"/>
    </xf>
    <xf numFmtId="165" fontId="17" fillId="0" borderId="29" xfId="0" applyNumberFormat="1" applyFont="1" applyBorder="1" applyAlignment="1">
      <alignment horizontal="center" vertical="center"/>
    </xf>
    <xf numFmtId="0" fontId="3" fillId="0" borderId="31" xfId="0" applyFont="1" applyBorder="1" applyAlignment="1"/>
    <xf numFmtId="0" fontId="18" fillId="0" borderId="29" xfId="0" applyFont="1" applyBorder="1" applyAlignment="1">
      <alignment horizontal="center" vertical="center"/>
    </xf>
    <xf numFmtId="0" fontId="31" fillId="2" borderId="0" xfId="0" applyFont="1" applyFill="1" applyAlignment="1">
      <alignment horizontal="left" vertical="center" wrapText="1"/>
    </xf>
    <xf numFmtId="0" fontId="0" fillId="0" borderId="0" xfId="0" applyAlignment="1"/>
    <xf numFmtId="0" fontId="3" fillId="0" borderId="21" xfId="0" applyFont="1" applyBorder="1" applyAlignment="1"/>
    <xf numFmtId="0" fontId="8" fillId="2" borderId="0" xfId="0" applyFont="1" applyFill="1" applyAlignment="1">
      <alignment horizontal="center"/>
    </xf>
    <xf numFmtId="166" fontId="9" fillId="5" borderId="22" xfId="0" applyNumberFormat="1" applyFont="1" applyFill="1" applyBorder="1" applyAlignment="1">
      <alignment horizontal="center" vertical="center"/>
    </xf>
    <xf numFmtId="0" fontId="3" fillId="0" borderId="24" xfId="0" applyFont="1" applyBorder="1" applyAlignment="1"/>
    <xf numFmtId="0" fontId="3" fillId="0" borderId="23" xfId="0" applyFont="1" applyBorder="1" applyAlignment="1"/>
    <xf numFmtId="0" fontId="10" fillId="2" borderId="0" xfId="0" applyFont="1" applyFill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3" fillId="0" borderId="10" xfId="0" applyFont="1" applyBorder="1" applyAlignment="1"/>
    <xf numFmtId="0" fontId="16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right" vertical="center" wrapText="1"/>
    </xf>
    <xf numFmtId="165" fontId="20" fillId="2" borderId="29" xfId="0" applyNumberFormat="1" applyFont="1" applyFill="1" applyBorder="1" applyAlignment="1">
      <alignment horizontal="center" vertical="center"/>
    </xf>
    <xf numFmtId="3" fontId="18" fillId="0" borderId="29" xfId="0" applyNumberFormat="1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165" fontId="7" fillId="5" borderId="22" xfId="0" applyNumberFormat="1" applyFont="1" applyFill="1" applyBorder="1" applyAlignment="1">
      <alignment horizontal="center" vertical="center"/>
    </xf>
    <xf numFmtId="165" fontId="1" fillId="2" borderId="19" xfId="0" applyNumberFormat="1" applyFont="1" applyFill="1" applyBorder="1" applyAlignment="1"/>
    <xf numFmtId="0" fontId="3" fillId="0" borderId="19" xfId="0" applyFont="1" applyBorder="1" applyAlignment="1"/>
    <xf numFmtId="0" fontId="1" fillId="2" borderId="0" xfId="0" applyFont="1" applyFill="1" applyAlignment="1"/>
    <xf numFmtId="0" fontId="5" fillId="5" borderId="22" xfId="0" applyFont="1" applyFill="1" applyBorder="1" applyAlignment="1">
      <alignment horizontal="center" vertical="center"/>
    </xf>
    <xf numFmtId="0" fontId="1" fillId="2" borderId="19" xfId="0" applyFont="1" applyFill="1" applyBorder="1" applyAlignment="1"/>
    <xf numFmtId="0" fontId="2" fillId="3" borderId="6" xfId="0" applyFont="1" applyFill="1" applyBorder="1" applyAlignment="1">
      <alignment horizontal="center" vertical="center"/>
    </xf>
    <xf numFmtId="0" fontId="3" fillId="0" borderId="7" xfId="0" applyFont="1" applyBorder="1" applyAlignment="1"/>
    <xf numFmtId="0" fontId="3" fillId="0" borderId="8" xfId="0" applyFont="1" applyBorder="1" applyAlignment="1"/>
    <xf numFmtId="0" fontId="3" fillId="0" borderId="14" xfId="0" applyFont="1" applyBorder="1" applyAlignment="1"/>
    <xf numFmtId="0" fontId="3" fillId="0" borderId="1" xfId="0" applyFont="1" applyBorder="1" applyAlignment="1"/>
    <xf numFmtId="0" fontId="2" fillId="3" borderId="11" xfId="0" applyFont="1" applyFill="1" applyBorder="1" applyAlignment="1">
      <alignment horizontal="center" vertical="center"/>
    </xf>
    <xf numFmtId="0" fontId="3" fillId="0" borderId="15" xfId="0" applyFont="1" applyBorder="1" applyAlignment="1"/>
    <xf numFmtId="0" fontId="4" fillId="4" borderId="16" xfId="0" applyFont="1" applyFill="1" applyBorder="1" applyAlignment="1">
      <alignment horizontal="center" vertical="center"/>
    </xf>
    <xf numFmtId="0" fontId="3" fillId="0" borderId="17" xfId="0" applyFont="1" applyBorder="1" applyAlignment="1"/>
    <xf numFmtId="0" fontId="4" fillId="4" borderId="19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right" vertical="center"/>
    </xf>
    <xf numFmtId="165" fontId="1" fillId="2" borderId="0" xfId="0" applyNumberFormat="1" applyFont="1" applyFill="1" applyAlignment="1"/>
    <xf numFmtId="0" fontId="2" fillId="3" borderId="38" xfId="0" applyFont="1" applyFill="1" applyBorder="1" applyAlignment="1">
      <alignment horizontal="left" vertical="center"/>
    </xf>
    <xf numFmtId="0" fontId="1" fillId="2" borderId="14" xfId="0" applyFont="1" applyFill="1" applyBorder="1" applyAlignment="1">
      <alignment vertical="top" wrapText="1"/>
    </xf>
    <xf numFmtId="0" fontId="3" fillId="0" borderId="16" xfId="0" applyFont="1" applyBorder="1" applyAlignment="1"/>
    <xf numFmtId="0" fontId="3" fillId="0" borderId="18" xfId="0" applyFont="1" applyBorder="1" applyAlignment="1"/>
    <xf numFmtId="0" fontId="13" fillId="5" borderId="26" xfId="0" applyFont="1" applyFill="1" applyBorder="1" applyAlignment="1">
      <alignment horizontal="center" vertical="center"/>
    </xf>
    <xf numFmtId="0" fontId="3" fillId="0" borderId="27" xfId="0" applyFont="1" applyBorder="1" applyAlignment="1"/>
    <xf numFmtId="0" fontId="5" fillId="2" borderId="14" xfId="0" applyFont="1" applyFill="1" applyBorder="1" applyAlignment="1">
      <alignment horizontal="center" vertical="center"/>
    </xf>
    <xf numFmtId="0" fontId="22" fillId="3" borderId="11" xfId="0" applyFont="1" applyFill="1" applyBorder="1" applyAlignment="1">
      <alignment horizontal="left" vertical="center"/>
    </xf>
    <xf numFmtId="0" fontId="3" fillId="0" borderId="25" xfId="0" applyFont="1" applyBorder="1" applyAlignment="1"/>
    <xf numFmtId="0" fontId="3" fillId="0" borderId="9" xfId="0" applyFont="1" applyBorder="1" applyAlignment="1"/>
    <xf numFmtId="0" fontId="28" fillId="3" borderId="1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b/>
        <color rgb="FFCC0000"/>
      </font>
      <fill>
        <patternFill patternType="none"/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Inventory List-style" pivot="0" count="2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3000" b="1">
                <a:solidFill>
                  <a:srgbClr val="0C134F"/>
                </a:solidFill>
                <a:latin typeface="Arial"/>
              </a:defRPr>
            </a:pPr>
            <a:r>
              <a:rPr lang="en-US" sz="1800" b="1">
                <a:solidFill>
                  <a:srgbClr val="0C134F"/>
                </a:solidFill>
                <a:latin typeface="Arial"/>
              </a:rPr>
              <a:t>CURRENT STOCK OF PRODUCTS</a:t>
            </a:r>
          </a:p>
        </c:rich>
      </c:tx>
      <c:layout>
        <c:manualLayout>
          <c:xMode val="edge"/>
          <c:yMode val="edge"/>
          <c:x val="0.15827701652786652"/>
          <c:y val="4.328704019298922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146906866442652"/>
          <c:y val="0.12331894308245427"/>
          <c:w val="0.74542853591141145"/>
          <c:h val="0.77907629987432925"/>
        </c:manualLayout>
      </c:layout>
      <c:doughnutChart>
        <c:varyColors val="1"/>
        <c:ser>
          <c:idx val="0"/>
          <c:order val="0"/>
          <c:tx>
            <c:strRef>
              <c:f>HELPER!$V$8</c:f>
              <c:strCache>
                <c:ptCount val="1"/>
                <c:pt idx="0">
                  <c:v>stock</c:v>
                </c:pt>
              </c:strCache>
            </c:strRef>
          </c:tx>
          <c:dPt>
            <c:idx val="0"/>
            <c:bubble3D val="0"/>
            <c:spPr>
              <a:solidFill>
                <a:srgbClr val="1C4587"/>
              </a:solidFill>
              <a:ln w="9525" cmpd="sng">
                <a:solidFill>
                  <a:srgbClr val="0C134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A92-42AF-A7F5-E0924BF15C52}"/>
              </c:ext>
            </c:extLst>
          </c:dPt>
          <c:dPt>
            <c:idx val="1"/>
            <c:bubble3D val="0"/>
            <c:spPr>
              <a:solidFill>
                <a:srgbClr val="3C78D8"/>
              </a:solidFill>
              <a:ln w="9525" cmpd="sng">
                <a:solidFill>
                  <a:srgbClr val="0C134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A92-42AF-A7F5-E0924BF15C52}"/>
              </c:ext>
            </c:extLst>
          </c:dPt>
          <c:dPt>
            <c:idx val="2"/>
            <c:bubble3D val="0"/>
            <c:spPr>
              <a:solidFill>
                <a:srgbClr val="A4C2F4"/>
              </a:solidFill>
              <a:ln w="9525" cmpd="sng">
                <a:solidFill>
                  <a:srgbClr val="0C134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A92-42AF-A7F5-E0924BF15C52}"/>
              </c:ext>
            </c:extLst>
          </c:dPt>
          <c:dPt>
            <c:idx val="3"/>
            <c:bubble3D val="0"/>
            <c:spPr>
              <a:solidFill>
                <a:srgbClr val="C9DAF8"/>
              </a:solidFill>
              <a:ln w="9525" cmpd="sng">
                <a:solidFill>
                  <a:srgbClr val="0C134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5A92-42AF-A7F5-E0924BF15C52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5A92-42AF-A7F5-E0924BF15C52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b="1">
                      <a:solidFill>
                        <a:srgbClr val="F4EEFF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5A92-42AF-A7F5-E0924BF15C52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b="1">
                      <a:solidFill>
                        <a:srgbClr val="FFFFFF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5A92-42AF-A7F5-E0924BF15C52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 lvl="0">
                    <a:defRPr b="1">
                      <a:solidFill>
                        <a:srgbClr val="000000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5A92-42AF-A7F5-E0924BF15C5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HELPER!$U$9:$U$12</c:f>
              <c:strCache>
                <c:ptCount val="4"/>
                <c:pt idx="0">
                  <c:v>Vegetables</c:v>
                </c:pt>
                <c:pt idx="1">
                  <c:v>Meat</c:v>
                </c:pt>
                <c:pt idx="2">
                  <c:v>Dairy</c:v>
                </c:pt>
                <c:pt idx="3">
                  <c:v>Condiments</c:v>
                </c:pt>
              </c:strCache>
            </c:strRef>
          </c:cat>
          <c:val>
            <c:numRef>
              <c:f>HELPER!$V$9:$V$12</c:f>
              <c:numCache>
                <c:formatCode>General</c:formatCode>
                <c:ptCount val="4"/>
                <c:pt idx="0">
                  <c:v>465</c:v>
                </c:pt>
                <c:pt idx="1">
                  <c:v>95</c:v>
                </c:pt>
                <c:pt idx="2">
                  <c:v>180</c:v>
                </c:pt>
                <c:pt idx="3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92-42AF-A7F5-E0924BF15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</c:plotArea>
    <c:legend>
      <c:legendPos val="b"/>
      <c:layout/>
      <c:overlay val="0"/>
    </c:legend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1">
                <a:solidFill>
                  <a:srgbClr val="0C134F"/>
                </a:solidFill>
                <a:latin typeface="Roboto"/>
              </a:defRPr>
            </a:pPr>
            <a:r>
              <a:rPr lang="en-US" sz="2000" b="1">
                <a:solidFill>
                  <a:srgbClr val="0C134F"/>
                </a:solidFill>
                <a:latin typeface="Roboto"/>
              </a:rPr>
              <a:t>TOTAL VALUE per ITEM</a:t>
            </a:r>
          </a:p>
        </c:rich>
      </c:tx>
      <c:layout/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5437572229016944"/>
          <c:y val="0.14296410697858908"/>
          <c:w val="0.79805781016782407"/>
          <c:h val="0.75029934762977779"/>
        </c:manualLayout>
      </c:layout>
      <c:bar3DChart>
        <c:barDir val="bar"/>
        <c:grouping val="clustered"/>
        <c:varyColors val="1"/>
        <c:ser>
          <c:idx val="0"/>
          <c:order val="0"/>
          <c:tx>
            <c:strRef>
              <c:f>HELPER!$X$8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D9D2E9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254-4A04-B09A-807ABDE1DB3B}"/>
              </c:ext>
            </c:extLst>
          </c:dPt>
          <c:dPt>
            <c:idx val="1"/>
            <c:invertIfNegative val="1"/>
            <c:bubble3D val="0"/>
            <c:spPr>
              <a:solidFill>
                <a:srgbClr val="B4A7D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2254-4A04-B09A-807ABDE1DB3B}"/>
              </c:ext>
            </c:extLst>
          </c:dPt>
          <c:dPt>
            <c:idx val="2"/>
            <c:invertIfNegative val="1"/>
            <c:bubble3D val="0"/>
            <c:spPr>
              <a:solidFill>
                <a:srgbClr val="674EA7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2254-4A04-B09A-807ABDE1DB3B}"/>
              </c:ext>
            </c:extLst>
          </c:dPt>
          <c:dPt>
            <c:idx val="3"/>
            <c:invertIfNegative val="1"/>
            <c:bubble3D val="0"/>
            <c:spPr>
              <a:solidFill>
                <a:srgbClr val="351C7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2254-4A04-B09A-807ABDE1DB3B}"/>
              </c:ext>
            </c:extLst>
          </c:dPt>
          <c:dPt>
            <c:idx val="4"/>
            <c:invertIfNegative val="1"/>
            <c:bubble3D val="0"/>
            <c:spPr>
              <a:solidFill>
                <a:srgbClr val="20124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2254-4A04-B09A-807ABDE1DB3B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>
                      <a:solidFill>
                        <a:srgbClr val="0C134F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254-4A04-B09A-807ABDE1DB3B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>
                      <a:solidFill>
                        <a:srgbClr val="0C134F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2254-4A04-B09A-807ABDE1DB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>
                    <a:solidFill>
                      <a:srgbClr val="0C134F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HELPER!$W$9:$W$12</c:f>
              <c:strCache>
                <c:ptCount val="4"/>
                <c:pt idx="0">
                  <c:v>Vegetables</c:v>
                </c:pt>
                <c:pt idx="1">
                  <c:v>Meat</c:v>
                </c:pt>
                <c:pt idx="2">
                  <c:v>Dairy</c:v>
                </c:pt>
                <c:pt idx="3">
                  <c:v>Condiments</c:v>
                </c:pt>
              </c:strCache>
            </c:strRef>
          </c:cat>
          <c:val>
            <c:numRef>
              <c:f>HELPER!$X$9:$X$12</c:f>
              <c:numCache>
                <c:formatCode>"$"#,##0.00</c:formatCode>
                <c:ptCount val="4"/>
                <c:pt idx="0">
                  <c:v>497.5</c:v>
                </c:pt>
                <c:pt idx="1">
                  <c:v>867.5</c:v>
                </c:pt>
                <c:pt idx="2">
                  <c:v>397.5</c:v>
                </c:pt>
                <c:pt idx="3">
                  <c:v>562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2254-4A04-B09A-807ABDE1D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17091883"/>
        <c:axId val="1911703729"/>
        <c:axId val="0"/>
      </c:bar3DChart>
      <c:catAx>
        <c:axId val="20170918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>
                <a:solidFill>
                  <a:srgbClr val="0C134F"/>
                </a:solidFill>
                <a:latin typeface="Roboto"/>
              </a:defRPr>
            </a:pPr>
            <a:endParaRPr lang="en-US"/>
          </a:p>
        </c:txPr>
        <c:crossAx val="1911703729"/>
        <c:crosses val="autoZero"/>
        <c:auto val="1"/>
        <c:lblAlgn val="ctr"/>
        <c:lblOffset val="100"/>
        <c:noMultiLvlLbl val="1"/>
      </c:catAx>
      <c:valAx>
        <c:axId val="1911703729"/>
        <c:scaling>
          <c:orientation val="minMax"/>
        </c:scaling>
        <c:delete val="1"/>
        <c:axPos val="b"/>
        <c:majorGridlines>
          <c:spPr>
            <a:ln>
              <a:solidFill>
                <a:srgbClr val="E3DFFD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&quot;$&quot;#,##0.00" sourceLinked="1"/>
        <c:majorTickMark val="none"/>
        <c:minorTickMark val="none"/>
        <c:tickLblPos val="nextTo"/>
        <c:crossAx val="2017091883"/>
        <c:crosses val="max"/>
        <c:crossBetween val="between"/>
      </c:valAx>
    </c:plotArea>
    <c:plotVisOnly val="1"/>
    <c:dispBlanksAs val="zero"/>
    <c:showDLblsOverMax val="1"/>
  </c:chart>
  <c:spPr>
    <a:solidFill>
      <a:srgbClr val="FFFFFF">
        <a:alpha val="0"/>
      </a:srgbClr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44823</xdr:colOff>
      <xdr:row>13</xdr:row>
      <xdr:rowOff>1</xdr:rowOff>
    </xdr:from>
    <xdr:ext cx="4977449" cy="4987636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9525</xdr:colOff>
      <xdr:row>2</xdr:row>
      <xdr:rowOff>6062</xdr:rowOff>
    </xdr:from>
    <xdr:ext cx="7419975" cy="29622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23</xdr:col>
      <xdr:colOff>586221</xdr:colOff>
      <xdr:row>22</xdr:row>
      <xdr:rowOff>120362</xdr:rowOff>
    </xdr:from>
    <xdr:ext cx="1733550" cy="1733550"/>
    <xdr:pic>
      <xdr:nvPicPr>
        <xdr:cNvPr id="4" name="image2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7194357" y="5021407"/>
          <a:ext cx="1733550" cy="173355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963706</xdr:colOff>
      <xdr:row>2</xdr:row>
      <xdr:rowOff>177053</xdr:rowOff>
    </xdr:from>
    <xdr:ext cx="728382" cy="786653"/>
    <xdr:pic>
      <xdr:nvPicPr>
        <xdr:cNvPr id="5" name="image1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03177" y="502024"/>
          <a:ext cx="728382" cy="786653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B7:K26" headerRowCount="0">
  <tableColumns count="10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</tableColumns>
  <tableStyleInfo name="Inventory 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G122"/>
  <sheetViews>
    <sheetView showGridLines="0" tabSelected="1" topLeftCell="B1" zoomScale="70" zoomScaleNormal="70" workbookViewId="0">
      <selection activeCell="H8" sqref="H8"/>
    </sheetView>
  </sheetViews>
  <sheetFormatPr defaultColWidth="12.5546875" defaultRowHeight="15.75" customHeight="1"/>
  <cols>
    <col min="1" max="3" width="2.88671875" customWidth="1"/>
    <col min="4" max="4" width="21" customWidth="1"/>
    <col min="5" max="5" width="1" customWidth="1"/>
    <col min="6" max="6" width="20.109375" customWidth="1"/>
    <col min="7" max="9" width="2.88671875" customWidth="1"/>
    <col min="10" max="10" width="8.44140625" customWidth="1"/>
    <col min="11" max="12" width="19.44140625" customWidth="1"/>
    <col min="13" max="14" width="13.33203125" customWidth="1"/>
    <col min="15" max="16" width="19.44140625" customWidth="1"/>
    <col min="17" max="17" width="13.88671875" customWidth="1"/>
    <col min="18" max="18" width="19.44140625" customWidth="1"/>
    <col min="19" max="19" width="21.33203125" customWidth="1"/>
    <col min="20" max="21" width="2.88671875" customWidth="1"/>
    <col min="22" max="22" width="1.6640625" customWidth="1"/>
    <col min="23" max="23" width="12.33203125" customWidth="1"/>
    <col min="24" max="24" width="9.109375" customWidth="1"/>
    <col min="25" max="25" width="1" customWidth="1"/>
    <col min="26" max="27" width="12.33203125" customWidth="1"/>
    <col min="28" max="28" width="1" customWidth="1"/>
    <col min="29" max="30" width="12.33203125" customWidth="1"/>
    <col min="31" max="31" width="1.6640625" customWidth="1"/>
    <col min="32" max="33" width="2.88671875" customWidth="1"/>
  </cols>
  <sheetData>
    <row r="1" spans="1:33" ht="13.8" thickBot="1">
      <c r="A1" s="1"/>
      <c r="B1" s="1"/>
      <c r="C1" s="1"/>
      <c r="D1" s="2"/>
      <c r="E1" s="2"/>
      <c r="F1" s="2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3"/>
      <c r="AF1" s="1"/>
      <c r="AG1" s="1"/>
    </row>
    <row r="2" spans="1:33" ht="13.2">
      <c r="A2" s="1"/>
      <c r="B2" s="4"/>
      <c r="C2" s="5"/>
      <c r="D2" s="6"/>
      <c r="E2" s="6"/>
      <c r="F2" s="6"/>
      <c r="G2" s="5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7"/>
      <c r="AG2" s="1"/>
    </row>
    <row r="3" spans="1:33" ht="15.6">
      <c r="A3" s="1"/>
      <c r="B3" s="8"/>
      <c r="C3" s="154" t="s">
        <v>0</v>
      </c>
      <c r="D3" s="155"/>
      <c r="E3" s="155"/>
      <c r="F3" s="155"/>
      <c r="G3" s="155"/>
      <c r="H3" s="9"/>
      <c r="I3" s="9"/>
      <c r="J3" s="10"/>
      <c r="K3" s="10"/>
      <c r="L3" s="10"/>
      <c r="M3" s="10"/>
      <c r="N3" s="10"/>
      <c r="O3" s="10"/>
      <c r="P3" s="10"/>
      <c r="Q3" s="175" t="s">
        <v>1</v>
      </c>
      <c r="R3" s="176"/>
      <c r="S3" s="176"/>
      <c r="T3" s="177"/>
      <c r="U3" s="11"/>
      <c r="V3" s="12"/>
      <c r="W3" s="180" t="s">
        <v>2</v>
      </c>
      <c r="X3" s="163"/>
      <c r="Y3" s="163"/>
      <c r="Z3" s="163"/>
      <c r="AA3" s="163"/>
      <c r="AB3" s="163"/>
      <c r="AC3" s="163"/>
      <c r="AD3" s="163"/>
      <c r="AE3" s="13"/>
      <c r="AF3" s="14"/>
      <c r="AG3" s="1"/>
    </row>
    <row r="4" spans="1:33" ht="15.6">
      <c r="A4" s="1"/>
      <c r="B4" s="8"/>
      <c r="C4" s="155"/>
      <c r="D4" s="155"/>
      <c r="E4" s="155"/>
      <c r="F4" s="155"/>
      <c r="G4" s="155"/>
      <c r="H4" s="9"/>
      <c r="I4" s="9"/>
      <c r="J4" s="10"/>
      <c r="K4" s="10"/>
      <c r="L4" s="10"/>
      <c r="M4" s="10"/>
      <c r="N4" s="10"/>
      <c r="O4" s="10"/>
      <c r="P4" s="10"/>
      <c r="Q4" s="178"/>
      <c r="R4" s="155"/>
      <c r="S4" s="155"/>
      <c r="T4" s="179"/>
      <c r="U4" s="11"/>
      <c r="V4" s="15"/>
      <c r="W4" s="181"/>
      <c r="X4" s="155"/>
      <c r="Y4" s="155"/>
      <c r="Z4" s="155"/>
      <c r="AA4" s="155"/>
      <c r="AB4" s="155"/>
      <c r="AC4" s="155"/>
      <c r="AD4" s="155"/>
      <c r="AE4" s="16"/>
      <c r="AF4" s="14"/>
      <c r="AG4" s="1"/>
    </row>
    <row r="5" spans="1:33" ht="13.2">
      <c r="A5" s="1"/>
      <c r="B5" s="8"/>
      <c r="C5" s="155"/>
      <c r="D5" s="155"/>
      <c r="E5" s="155"/>
      <c r="F5" s="155"/>
      <c r="G5" s="155"/>
      <c r="H5" s="9"/>
      <c r="I5" s="9"/>
      <c r="J5" s="10"/>
      <c r="K5" s="10"/>
      <c r="L5" s="10"/>
      <c r="M5" s="10"/>
      <c r="N5" s="10"/>
      <c r="O5" s="10"/>
      <c r="P5" s="10"/>
      <c r="Q5" s="182" t="s">
        <v>3</v>
      </c>
      <c r="R5" s="183"/>
      <c r="S5" s="17" t="s">
        <v>4</v>
      </c>
      <c r="T5" s="18"/>
      <c r="U5" s="11"/>
      <c r="V5" s="19"/>
      <c r="W5" s="184" t="s">
        <v>5</v>
      </c>
      <c r="X5" s="171"/>
      <c r="Y5" s="19"/>
      <c r="Z5" s="184" t="s">
        <v>6</v>
      </c>
      <c r="AA5" s="171"/>
      <c r="AB5" s="19"/>
      <c r="AC5" s="184" t="s">
        <v>7</v>
      </c>
      <c r="AD5" s="171"/>
      <c r="AE5" s="20"/>
      <c r="AF5" s="14"/>
      <c r="AG5" s="1"/>
    </row>
    <row r="6" spans="1:33" ht="13.2">
      <c r="A6" s="1"/>
      <c r="B6" s="8"/>
      <c r="C6" s="155"/>
      <c r="D6" s="155"/>
      <c r="E6" s="155"/>
      <c r="F6" s="155"/>
      <c r="G6" s="155"/>
      <c r="H6" s="9"/>
      <c r="I6" s="9"/>
      <c r="J6" s="10"/>
      <c r="K6" s="10"/>
      <c r="L6" s="10"/>
      <c r="M6" s="10"/>
      <c r="N6" s="10"/>
      <c r="O6" s="10"/>
      <c r="P6" s="10"/>
      <c r="Q6" s="21"/>
      <c r="R6" s="10"/>
      <c r="S6" s="10"/>
      <c r="T6" s="22"/>
      <c r="U6" s="11"/>
      <c r="V6" s="9"/>
      <c r="W6" s="172"/>
      <c r="X6" s="155"/>
      <c r="Y6" s="9"/>
      <c r="Z6" s="172"/>
      <c r="AA6" s="155"/>
      <c r="AB6" s="9"/>
      <c r="AC6" s="186"/>
      <c r="AD6" s="155"/>
      <c r="AE6" s="22"/>
      <c r="AF6" s="14"/>
      <c r="AG6" s="1"/>
    </row>
    <row r="7" spans="1:33" ht="30.75" customHeight="1" thickBot="1">
      <c r="A7" s="1"/>
      <c r="B7" s="8"/>
      <c r="C7" s="156"/>
      <c r="D7" s="156"/>
      <c r="E7" s="156"/>
      <c r="F7" s="156"/>
      <c r="G7" s="156"/>
      <c r="H7" s="9"/>
      <c r="I7" s="9"/>
      <c r="J7" s="10"/>
      <c r="K7" s="10"/>
      <c r="L7" s="10"/>
      <c r="M7" s="10"/>
      <c r="N7" s="10"/>
      <c r="O7" s="10"/>
      <c r="P7" s="10"/>
      <c r="Q7" s="193" t="str">
        <f t="array" ref="Q7:Q11" ca="1">INDEX(HELPER!S2:S6,0)</f>
        <v>Chicken Breast</v>
      </c>
      <c r="R7" s="155"/>
      <c r="S7" s="142" t="str">
        <f t="array" aca="1" ref="S7:S11" ca="1">INDEX(HELPER!T2:T6,0)</f>
        <v/>
      </c>
      <c r="T7" s="22"/>
      <c r="U7" s="11"/>
      <c r="V7" s="9"/>
      <c r="W7" s="185" t="str">
        <f t="array" ref="W7:W12" ca="1">INDEX(HELPER!O2:O7,0)</f>
        <v>Butcher's Choice</v>
      </c>
      <c r="X7" s="155"/>
      <c r="Y7" s="9"/>
      <c r="Z7" s="173" t="str">
        <f t="array" ref="Z7:Z12" ca="1">INDEX(HELPER!P2:P7,0)</f>
        <v/>
      </c>
      <c r="AA7" s="160"/>
      <c r="AB7" s="9"/>
      <c r="AC7" s="169" t="str">
        <f t="array" ref="AC7:AC12" ca="1">INDEX(HELPER!Q2:Q7,0)</f>
        <v/>
      </c>
      <c r="AD7" s="160"/>
      <c r="AE7" s="22"/>
      <c r="AF7" s="14"/>
      <c r="AG7" s="1"/>
    </row>
    <row r="8" spans="1:33" ht="30.75" customHeight="1" thickTop="1">
      <c r="A8" s="1"/>
      <c r="B8" s="8"/>
      <c r="C8" s="10"/>
      <c r="D8" s="157" t="s">
        <v>8</v>
      </c>
      <c r="E8" s="155"/>
      <c r="F8" s="155"/>
      <c r="G8" s="10"/>
      <c r="H8" s="9"/>
      <c r="I8" s="9"/>
      <c r="J8" s="10"/>
      <c r="K8" s="10"/>
      <c r="L8" s="10"/>
      <c r="M8" s="10"/>
      <c r="N8" s="10"/>
      <c r="O8" s="10"/>
      <c r="P8" s="10"/>
      <c r="Q8" s="193" t="str">
        <f ca="1"/>
        <v>Chicken Breast</v>
      </c>
      <c r="R8" s="155"/>
      <c r="S8" s="142" t="str">
        <f ca="1"/>
        <v/>
      </c>
      <c r="T8" s="22"/>
      <c r="U8" s="11"/>
      <c r="V8" s="9"/>
      <c r="W8" s="185" t="str">
        <f ca="1"/>
        <v>Farm Fresh Co.</v>
      </c>
      <c r="X8" s="155"/>
      <c r="Y8" s="9"/>
      <c r="Z8" s="173" t="str">
        <f ca="1"/>
        <v/>
      </c>
      <c r="AA8" s="160"/>
      <c r="AB8" s="9"/>
      <c r="AC8" s="169" t="str">
        <f ca="1"/>
        <v/>
      </c>
      <c r="AD8" s="160"/>
      <c r="AE8" s="22"/>
      <c r="AF8" s="14"/>
      <c r="AG8" s="1"/>
    </row>
    <row r="9" spans="1:33" ht="30.75" customHeight="1">
      <c r="A9" s="1"/>
      <c r="B9" s="8"/>
      <c r="C9" s="9"/>
      <c r="D9" s="158">
        <f ca="1">TODAY()</f>
        <v>46089</v>
      </c>
      <c r="E9" s="159"/>
      <c r="F9" s="160"/>
      <c r="G9" s="9"/>
      <c r="H9" s="9"/>
      <c r="I9" s="9"/>
      <c r="J9" s="10"/>
      <c r="K9" s="10"/>
      <c r="L9" s="10"/>
      <c r="M9" s="10"/>
      <c r="N9" s="10"/>
      <c r="O9" s="10"/>
      <c r="P9" s="10"/>
      <c r="Q9" s="193" t="str">
        <f ca="1"/>
        <v>Shrimp</v>
      </c>
      <c r="R9" s="155"/>
      <c r="S9" s="142" t="str">
        <f ca="1"/>
        <v/>
      </c>
      <c r="T9" s="22"/>
      <c r="U9" s="11"/>
      <c r="V9" s="9"/>
      <c r="W9" s="185" t="str">
        <f ca="1"/>
        <v>Ocean Harvest</v>
      </c>
      <c r="X9" s="155"/>
      <c r="Y9" s="9"/>
      <c r="Z9" s="173" t="str">
        <f ca="1"/>
        <v/>
      </c>
      <c r="AA9" s="160"/>
      <c r="AB9" s="9"/>
      <c r="AC9" s="169" t="str">
        <f ca="1"/>
        <v/>
      </c>
      <c r="AD9" s="160"/>
      <c r="AE9" s="22"/>
      <c r="AF9" s="14"/>
      <c r="AG9" s="1"/>
    </row>
    <row r="10" spans="1:33" ht="30.75" customHeight="1">
      <c r="A10" s="1"/>
      <c r="B10" s="8"/>
      <c r="C10" s="9"/>
      <c r="D10" s="161" t="s">
        <v>9</v>
      </c>
      <c r="E10" s="155"/>
      <c r="F10" s="155"/>
      <c r="G10" s="9"/>
      <c r="H10" s="9"/>
      <c r="I10" s="9"/>
      <c r="J10" s="10"/>
      <c r="K10" s="10"/>
      <c r="L10" s="10"/>
      <c r="M10" s="10"/>
      <c r="N10" s="10"/>
      <c r="O10" s="10"/>
      <c r="P10" s="10"/>
      <c r="Q10" s="193">
        <v>0</v>
      </c>
      <c r="R10" s="155"/>
      <c r="S10" s="142" t="str">
        <f ca="1"/>
        <v/>
      </c>
      <c r="T10" s="22"/>
      <c r="U10" s="11"/>
      <c r="V10" s="9"/>
      <c r="W10" s="185" t="str">
        <f ca="1"/>
        <v>Mediterranean Co.</v>
      </c>
      <c r="X10" s="155"/>
      <c r="Y10" s="9"/>
      <c r="Z10" s="173" t="str">
        <f ca="1"/>
        <v/>
      </c>
      <c r="AA10" s="160"/>
      <c r="AB10" s="9"/>
      <c r="AC10" s="169" t="str">
        <f ca="1"/>
        <v/>
      </c>
      <c r="AD10" s="160"/>
      <c r="AE10" s="22"/>
      <c r="AF10" s="14"/>
      <c r="AG10" s="1"/>
    </row>
    <row r="11" spans="1:33" ht="30.75" customHeight="1">
      <c r="A11" s="1"/>
      <c r="B11" s="8"/>
      <c r="C11" s="9"/>
      <c r="D11" s="155"/>
      <c r="E11" s="155"/>
      <c r="F11" s="155"/>
      <c r="G11" s="9"/>
      <c r="H11" s="9"/>
      <c r="I11" s="9"/>
      <c r="J11" s="10"/>
      <c r="K11" s="10"/>
      <c r="L11" s="10"/>
      <c r="M11" s="10"/>
      <c r="N11" s="10"/>
      <c r="O11" s="10"/>
      <c r="P11" s="10"/>
      <c r="Q11" s="193">
        <v>0</v>
      </c>
      <c r="R11" s="155"/>
      <c r="S11" s="142" t="str">
        <f ca="1"/>
        <v/>
      </c>
      <c r="T11" s="22"/>
      <c r="U11" s="11"/>
      <c r="V11" s="9"/>
      <c r="W11" s="185" t="str">
        <f ca="1"/>
        <v>Golden Grains</v>
      </c>
      <c r="X11" s="155"/>
      <c r="Y11" s="9"/>
      <c r="Z11" s="173" t="str">
        <f ca="1"/>
        <v/>
      </c>
      <c r="AA11" s="160"/>
      <c r="AB11" s="9"/>
      <c r="AC11" s="169" t="str">
        <f ca="1"/>
        <v/>
      </c>
      <c r="AD11" s="160"/>
      <c r="AE11" s="22"/>
      <c r="AF11" s="14"/>
      <c r="AG11" s="1"/>
    </row>
    <row r="12" spans="1:33" ht="13.2">
      <c r="A12" s="1"/>
      <c r="B12" s="8"/>
      <c r="C12" s="9"/>
      <c r="D12" s="155"/>
      <c r="E12" s="155"/>
      <c r="F12" s="155"/>
      <c r="G12" s="9"/>
      <c r="H12" s="9"/>
      <c r="I12" s="9"/>
      <c r="J12" s="10"/>
      <c r="K12" s="10"/>
      <c r="L12" s="10"/>
      <c r="M12" s="10"/>
      <c r="N12" s="10"/>
      <c r="O12" s="10"/>
      <c r="P12" s="10"/>
      <c r="Q12" s="23"/>
      <c r="R12" s="24"/>
      <c r="S12" s="24"/>
      <c r="T12" s="25"/>
      <c r="U12" s="11"/>
      <c r="V12" s="26"/>
      <c r="W12" s="174">
        <v>0</v>
      </c>
      <c r="X12" s="171"/>
      <c r="Y12" s="26"/>
      <c r="Z12" s="174">
        <v>0</v>
      </c>
      <c r="AA12" s="171"/>
      <c r="AB12" s="26"/>
      <c r="AC12" s="170">
        <v>0</v>
      </c>
      <c r="AD12" s="171"/>
      <c r="AE12" s="27"/>
      <c r="AF12" s="14"/>
      <c r="AG12" s="1"/>
    </row>
    <row r="13" spans="1:33" ht="13.2">
      <c r="A13" s="1"/>
      <c r="B13" s="8"/>
      <c r="C13" s="9"/>
      <c r="D13" s="155"/>
      <c r="E13" s="155"/>
      <c r="F13" s="155"/>
      <c r="G13" s="9"/>
      <c r="H13" s="9"/>
      <c r="I13" s="9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14"/>
      <c r="AG13" s="1"/>
    </row>
    <row r="14" spans="1:33" ht="9" customHeight="1" thickBot="1">
      <c r="A14" s="1"/>
      <c r="B14" s="8"/>
      <c r="C14" s="28"/>
      <c r="D14" s="162" t="s">
        <v>10</v>
      </c>
      <c r="E14" s="163"/>
      <c r="F14" s="163"/>
      <c r="G14" s="29"/>
      <c r="H14" s="9"/>
      <c r="I14" s="28"/>
      <c r="J14" s="30"/>
      <c r="K14" s="30"/>
      <c r="L14" s="30"/>
      <c r="M14" s="30"/>
      <c r="N14" s="31"/>
      <c r="O14" s="31"/>
      <c r="P14" s="31"/>
      <c r="Q14" s="31"/>
      <c r="R14" s="31"/>
      <c r="S14" s="32"/>
      <c r="T14" s="2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14"/>
      <c r="AG14" s="1"/>
    </row>
    <row r="15" spans="1:33" ht="18" customHeight="1" thickBot="1">
      <c r="A15" s="33"/>
      <c r="B15" s="34"/>
      <c r="C15" s="35"/>
      <c r="D15" s="155"/>
      <c r="E15" s="155"/>
      <c r="F15" s="155"/>
      <c r="G15" s="36"/>
      <c r="H15" s="37"/>
      <c r="I15" s="35"/>
      <c r="J15" s="38"/>
      <c r="K15" s="39" t="s">
        <v>11</v>
      </c>
      <c r="L15" s="191"/>
      <c r="M15" s="192"/>
      <c r="N15" s="40" t="s">
        <v>12</v>
      </c>
      <c r="O15" s="41" t="s">
        <v>13</v>
      </c>
      <c r="P15" s="40" t="s">
        <v>14</v>
      </c>
      <c r="Q15" s="41" t="s">
        <v>15</v>
      </c>
      <c r="R15" s="40" t="s">
        <v>16</v>
      </c>
      <c r="S15" s="41">
        <v>2024</v>
      </c>
      <c r="T15" s="36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42"/>
      <c r="AG15" s="33"/>
    </row>
    <row r="16" spans="1:33" ht="9" customHeight="1">
      <c r="A16" s="1"/>
      <c r="B16" s="8"/>
      <c r="C16" s="43"/>
      <c r="D16" s="155"/>
      <c r="E16" s="155"/>
      <c r="F16" s="155"/>
      <c r="G16" s="44"/>
      <c r="H16" s="9"/>
      <c r="I16" s="43"/>
      <c r="J16" s="38"/>
      <c r="K16" s="45"/>
      <c r="L16" s="45"/>
      <c r="M16" s="45"/>
      <c r="N16" s="45"/>
      <c r="O16" s="45"/>
      <c r="P16" s="45"/>
      <c r="Q16" s="45"/>
      <c r="R16" s="45"/>
      <c r="S16" s="46"/>
      <c r="T16" s="44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14"/>
      <c r="AG16" s="1"/>
    </row>
    <row r="17" spans="1:33" ht="6" customHeight="1">
      <c r="A17" s="1"/>
      <c r="B17" s="8"/>
      <c r="C17" s="47"/>
      <c r="D17" s="10"/>
      <c r="E17" s="10"/>
      <c r="F17" s="10"/>
      <c r="G17" s="11"/>
      <c r="H17" s="9"/>
      <c r="I17" s="47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1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14"/>
      <c r="AG17" s="1"/>
    </row>
    <row r="18" spans="1:33" ht="21" customHeight="1" thickBot="1">
      <c r="A18" s="48"/>
      <c r="B18" s="49"/>
      <c r="C18" s="50"/>
      <c r="D18" s="164" t="s">
        <v>17</v>
      </c>
      <c r="E18" s="52"/>
      <c r="F18" s="151">
        <f>SUM(Q19:Q119)</f>
        <v>2324.5</v>
      </c>
      <c r="G18" s="53"/>
      <c r="H18" s="54"/>
      <c r="I18" s="50"/>
      <c r="J18" s="55" t="s">
        <v>18</v>
      </c>
      <c r="K18" s="55" t="s">
        <v>19</v>
      </c>
      <c r="L18" s="55" t="s">
        <v>3</v>
      </c>
      <c r="M18" s="55" t="s">
        <v>20</v>
      </c>
      <c r="N18" s="55" t="s">
        <v>21</v>
      </c>
      <c r="O18" s="55" t="s">
        <v>5</v>
      </c>
      <c r="P18" s="55" t="s">
        <v>22</v>
      </c>
      <c r="Q18" s="55" t="s">
        <v>7</v>
      </c>
      <c r="R18" s="55" t="s">
        <v>23</v>
      </c>
      <c r="S18" s="55" t="s">
        <v>24</v>
      </c>
      <c r="T18" s="53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6"/>
      <c r="AG18" s="48"/>
    </row>
    <row r="19" spans="1:33" ht="13.8">
      <c r="A19" s="1"/>
      <c r="B19" s="8"/>
      <c r="C19" s="47"/>
      <c r="D19" s="155"/>
      <c r="E19" s="52"/>
      <c r="F19" s="152"/>
      <c r="G19" s="11"/>
      <c r="H19" s="9"/>
      <c r="I19" s="47"/>
      <c r="J19" s="147" t="str" cm="1">
        <f t="array" ref="J19:S37">IFERROR(
  _xlfn._xlws.FILTER(
    'Inventory List'!B7:K107,
    (IF(L15&lt;&gt;"",
        ISNUMBER(SEARCH(UPPER(L15), UPPER('Inventory List'!B7:B107 &amp; 'Inventory List'!C7:C107 &amp; 'Inventory List'!D7:D107))),
        TRUE)) *
    (IF(
        AND(O15&lt;&gt;"", Q15&lt;&gt;"", S15&lt;&gt;""),
        ('Inventory List'!K7:K107 &gt;= DATE(S15, MONTH(DATEVALUE(O15 &amp; " 1")), 1)) *
        ('Inventory List'!K7:K107 &lt;= EOMONTH(DATE(S15, MONTH(DATEVALUE(Q15 &amp; " 1")), 1), 0)),
        TRUE
      ))
  ),
  "No data found for selected date range or search term"
)</f>
        <v>ITM001</v>
      </c>
      <c r="K19" s="57" t="str">
        <v>Vegetables</v>
      </c>
      <c r="L19" s="57" t="str">
        <v>Fresh Tomatoes</v>
      </c>
      <c r="M19" s="58">
        <v>150</v>
      </c>
      <c r="N19" s="57">
        <v>50</v>
      </c>
      <c r="O19" s="57" t="str">
        <v>Farm Fresh Co.</v>
      </c>
      <c r="P19" s="59">
        <v>1.5</v>
      </c>
      <c r="Q19" s="60">
        <v>225</v>
      </c>
      <c r="R19" s="61">
        <v>45280</v>
      </c>
      <c r="S19" s="143">
        <v>45296</v>
      </c>
      <c r="T19" s="11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14"/>
      <c r="AG19" s="1"/>
    </row>
    <row r="20" spans="1:33" ht="13.8">
      <c r="A20" s="1"/>
      <c r="B20" s="8"/>
      <c r="C20" s="47"/>
      <c r="D20" s="164" t="s">
        <v>25</v>
      </c>
      <c r="E20" s="52"/>
      <c r="F20" s="153">
        <f>COUNTA(J19:J119)</f>
        <v>19</v>
      </c>
      <c r="G20" s="11"/>
      <c r="H20" s="9"/>
      <c r="I20" s="47"/>
      <c r="J20" s="148" t="str">
        <v>ITM002</v>
      </c>
      <c r="K20" s="62" t="str">
        <v>Meat</v>
      </c>
      <c r="L20" s="62" t="str">
        <v>Chicken Breast</v>
      </c>
      <c r="M20" s="63">
        <v>3</v>
      </c>
      <c r="N20" s="62">
        <v>20</v>
      </c>
      <c r="O20" s="62" t="str">
        <v>Butcher's Choice</v>
      </c>
      <c r="P20" s="64">
        <v>3</v>
      </c>
      <c r="Q20" s="65">
        <v>240</v>
      </c>
      <c r="R20" s="66">
        <v>45301</v>
      </c>
      <c r="S20" s="144">
        <v>45316</v>
      </c>
      <c r="T20" s="11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14"/>
      <c r="AG20" s="1"/>
    </row>
    <row r="21" spans="1:33" ht="13.8">
      <c r="A21" s="1"/>
      <c r="B21" s="8"/>
      <c r="C21" s="47"/>
      <c r="D21" s="155"/>
      <c r="E21" s="52"/>
      <c r="F21" s="152"/>
      <c r="G21" s="11"/>
      <c r="H21" s="9"/>
      <c r="I21" s="47"/>
      <c r="J21" s="149" t="str">
        <v>ITM004</v>
      </c>
      <c r="K21" s="67" t="str">
        <v>Condiments</v>
      </c>
      <c r="L21" s="67" t="str">
        <v>Soy Sauce</v>
      </c>
      <c r="M21" s="68">
        <v>30</v>
      </c>
      <c r="N21" s="67">
        <v>15</v>
      </c>
      <c r="O21" s="67" t="str">
        <v>Ocean Harvest</v>
      </c>
      <c r="P21" s="69">
        <v>5.5</v>
      </c>
      <c r="Q21" s="70">
        <v>165</v>
      </c>
      <c r="R21" s="71">
        <v>45296</v>
      </c>
      <c r="S21" s="145">
        <v>45311</v>
      </c>
      <c r="T21" s="11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14"/>
      <c r="AG21" s="1"/>
    </row>
    <row r="22" spans="1:33" ht="13.8">
      <c r="A22" s="1"/>
      <c r="B22" s="8"/>
      <c r="C22" s="47"/>
      <c r="D22" s="164" t="s">
        <v>26</v>
      </c>
      <c r="E22" s="52"/>
      <c r="F22" s="167">
        <f>SUM(M19:M119)</f>
        <v>970</v>
      </c>
      <c r="G22" s="11"/>
      <c r="H22" s="9"/>
      <c r="I22" s="47"/>
      <c r="J22" s="148" t="str">
        <v>ITM005</v>
      </c>
      <c r="K22" s="62" t="str">
        <v>Vegetables</v>
      </c>
      <c r="L22" s="62" t="str">
        <v>Fresh Apples</v>
      </c>
      <c r="M22" s="63">
        <v>100</v>
      </c>
      <c r="N22" s="62">
        <v>30</v>
      </c>
      <c r="O22" s="62" t="str">
        <v>Golden Grains</v>
      </c>
      <c r="P22" s="64">
        <v>1.2</v>
      </c>
      <c r="Q22" s="65">
        <v>120</v>
      </c>
      <c r="R22" s="66">
        <v>45288</v>
      </c>
      <c r="S22" s="144">
        <v>45303</v>
      </c>
      <c r="T22" s="11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14"/>
      <c r="AG22" s="1"/>
    </row>
    <row r="23" spans="1:33" ht="13.8">
      <c r="A23" s="1"/>
      <c r="B23" s="8"/>
      <c r="C23" s="47"/>
      <c r="D23" s="155"/>
      <c r="E23" s="52"/>
      <c r="F23" s="152"/>
      <c r="G23" s="11"/>
      <c r="H23" s="9"/>
      <c r="I23" s="47"/>
      <c r="J23" s="149" t="str">
        <v>ITM006</v>
      </c>
      <c r="K23" s="67" t="str">
        <v>Meat</v>
      </c>
      <c r="L23" s="67" t="str">
        <v>Shrimp</v>
      </c>
      <c r="M23" s="68">
        <v>5</v>
      </c>
      <c r="N23" s="67">
        <v>10</v>
      </c>
      <c r="O23" s="67" t="str">
        <v>Mediterranean Co.</v>
      </c>
      <c r="P23" s="69">
        <v>8</v>
      </c>
      <c r="Q23" s="70">
        <v>160</v>
      </c>
      <c r="R23" s="71">
        <v>45306</v>
      </c>
      <c r="S23" s="145">
        <v>45321</v>
      </c>
      <c r="T23" s="11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14"/>
      <c r="AG23" s="1"/>
    </row>
    <row r="24" spans="1:33" ht="13.8">
      <c r="A24" s="1"/>
      <c r="B24" s="8"/>
      <c r="C24" s="47"/>
      <c r="D24" s="164" t="s">
        <v>27</v>
      </c>
      <c r="E24" s="52"/>
      <c r="F24" s="168">
        <f>COUNTIF(M19:M119, "&lt;=10")</f>
        <v>3</v>
      </c>
      <c r="G24" s="11"/>
      <c r="H24" s="9"/>
      <c r="I24" s="47"/>
      <c r="J24" s="148" t="str">
        <v>ITM007</v>
      </c>
      <c r="K24" s="62" t="str">
        <v>Dairy</v>
      </c>
      <c r="L24" s="62" t="str">
        <v>Greek Yogurt</v>
      </c>
      <c r="M24" s="63">
        <v>50</v>
      </c>
      <c r="N24" s="62">
        <v>15</v>
      </c>
      <c r="O24" s="62" t="str">
        <v>Orchard Organics</v>
      </c>
      <c r="P24" s="64">
        <v>2</v>
      </c>
      <c r="Q24" s="65">
        <v>100</v>
      </c>
      <c r="R24" s="66">
        <v>45278</v>
      </c>
      <c r="S24" s="144">
        <v>45293</v>
      </c>
      <c r="T24" s="11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14"/>
      <c r="AG24" s="1"/>
    </row>
    <row r="25" spans="1:33" ht="13.8">
      <c r="A25" s="1"/>
      <c r="B25" s="8"/>
      <c r="C25" s="47"/>
      <c r="D25" s="155"/>
      <c r="E25" s="52"/>
      <c r="F25" s="152"/>
      <c r="G25" s="11"/>
      <c r="H25" s="9"/>
      <c r="I25" s="47"/>
      <c r="J25" s="149" t="str">
        <v>ITM008</v>
      </c>
      <c r="K25" s="67" t="str">
        <v>Condiments</v>
      </c>
      <c r="L25" s="67" t="str">
        <v>Soy Sauce</v>
      </c>
      <c r="M25" s="68">
        <v>60</v>
      </c>
      <c r="N25" s="67">
        <v>25</v>
      </c>
      <c r="O25" s="67" t="str">
        <v>Baker's Supply</v>
      </c>
      <c r="P25" s="69">
        <v>1.8</v>
      </c>
      <c r="Q25" s="70">
        <v>108</v>
      </c>
      <c r="R25" s="71">
        <v>45282</v>
      </c>
      <c r="S25" s="145">
        <v>45297</v>
      </c>
      <c r="T25" s="11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14"/>
      <c r="AG25" s="1"/>
    </row>
    <row r="26" spans="1:33" ht="13.8">
      <c r="A26" s="1"/>
      <c r="B26" s="8"/>
      <c r="C26" s="47"/>
      <c r="D26" s="164" t="s">
        <v>28</v>
      </c>
      <c r="E26" s="52"/>
      <c r="F26" s="153">
        <f>SUM(N19:N119)</f>
        <v>355</v>
      </c>
      <c r="G26" s="11"/>
      <c r="H26" s="9"/>
      <c r="I26" s="47"/>
      <c r="J26" s="148" t="str">
        <v>ITM009</v>
      </c>
      <c r="K26" s="62" t="str">
        <v>Vegetables</v>
      </c>
      <c r="L26" s="62" t="str">
        <v>Fresh Apples</v>
      </c>
      <c r="M26" s="63">
        <v>120</v>
      </c>
      <c r="N26" s="62">
        <v>40</v>
      </c>
      <c r="O26" s="62" t="str">
        <v>Local Farms</v>
      </c>
      <c r="P26" s="64">
        <v>0.25</v>
      </c>
      <c r="Q26" s="65">
        <v>30</v>
      </c>
      <c r="R26" s="66">
        <v>45299</v>
      </c>
      <c r="S26" s="144">
        <v>45314</v>
      </c>
      <c r="T26" s="11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4"/>
      <c r="AG26" s="1"/>
    </row>
    <row r="27" spans="1:33" ht="13.8">
      <c r="A27" s="1"/>
      <c r="B27" s="8"/>
      <c r="C27" s="47"/>
      <c r="D27" s="155"/>
      <c r="E27" s="52"/>
      <c r="F27" s="152"/>
      <c r="G27" s="11"/>
      <c r="H27" s="9"/>
      <c r="I27" s="47"/>
      <c r="J27" s="149" t="str">
        <v>ITM010</v>
      </c>
      <c r="K27" s="67" t="str">
        <v>Meat</v>
      </c>
      <c r="L27" s="67" t="str">
        <v>Shrimp</v>
      </c>
      <c r="M27" s="68">
        <v>40</v>
      </c>
      <c r="N27" s="67">
        <v>10</v>
      </c>
      <c r="O27" s="67" t="str">
        <v>Can-O-Taste Inc.</v>
      </c>
      <c r="P27" s="69">
        <v>2.5</v>
      </c>
      <c r="Q27" s="70">
        <v>100</v>
      </c>
      <c r="R27" s="71">
        <v>45285</v>
      </c>
      <c r="S27" s="145">
        <v>45300</v>
      </c>
      <c r="T27" s="11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14"/>
      <c r="AG27" s="1"/>
    </row>
    <row r="28" spans="1:33" ht="13.8">
      <c r="A28" s="1"/>
      <c r="B28" s="8"/>
      <c r="C28" s="72"/>
      <c r="D28" s="73"/>
      <c r="E28" s="73"/>
      <c r="F28" s="73"/>
      <c r="G28" s="74"/>
      <c r="H28" s="9"/>
      <c r="I28" s="47"/>
      <c r="J28" s="148" t="str">
        <v>ITM011</v>
      </c>
      <c r="K28" s="62" t="str">
        <v>Dairy</v>
      </c>
      <c r="L28" s="62" t="str">
        <v>Greek Yogurt</v>
      </c>
      <c r="M28" s="63">
        <v>80</v>
      </c>
      <c r="N28" s="62">
        <v>20</v>
      </c>
      <c r="O28" s="62" t="str">
        <v>RefreshCo</v>
      </c>
      <c r="P28" s="64">
        <v>1</v>
      </c>
      <c r="Q28" s="65">
        <v>80</v>
      </c>
      <c r="R28" s="66">
        <v>45303</v>
      </c>
      <c r="S28" s="144">
        <v>45318</v>
      </c>
      <c r="T28" s="11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14"/>
      <c r="AG28" s="1"/>
    </row>
    <row r="29" spans="1:33" ht="13.8">
      <c r="A29" s="1"/>
      <c r="B29" s="8"/>
      <c r="C29" s="9"/>
      <c r="D29" s="75"/>
      <c r="E29" s="75"/>
      <c r="F29" s="75"/>
      <c r="G29" s="9"/>
      <c r="H29" s="9"/>
      <c r="I29" s="47"/>
      <c r="J29" s="149" t="str">
        <v>ITM012</v>
      </c>
      <c r="K29" s="67" t="str">
        <v>Condiments</v>
      </c>
      <c r="L29" s="67" t="str">
        <v>Tomato Sauce</v>
      </c>
      <c r="M29" s="68">
        <v>30</v>
      </c>
      <c r="N29" s="67">
        <v>10</v>
      </c>
      <c r="O29" s="67" t="str">
        <v>Artisan Bakes</v>
      </c>
      <c r="P29" s="69">
        <v>2.2000000000000002</v>
      </c>
      <c r="Q29" s="70">
        <v>66</v>
      </c>
      <c r="R29" s="71">
        <v>45290</v>
      </c>
      <c r="S29" s="145">
        <v>45305</v>
      </c>
      <c r="T29" s="11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14"/>
      <c r="AG29" s="1"/>
    </row>
    <row r="30" spans="1:33" ht="13.2">
      <c r="A30" s="1"/>
      <c r="B30" s="8"/>
      <c r="C30" s="28"/>
      <c r="D30" s="162" t="s">
        <v>29</v>
      </c>
      <c r="E30" s="163"/>
      <c r="F30" s="163"/>
      <c r="G30" s="29"/>
      <c r="H30" s="9"/>
      <c r="I30" s="47"/>
      <c r="J30" s="148" t="str">
        <v>ITM013</v>
      </c>
      <c r="K30" s="62" t="str">
        <v>Vegetables</v>
      </c>
      <c r="L30" s="62" t="str">
        <v>Bananas</v>
      </c>
      <c r="M30" s="63">
        <v>25</v>
      </c>
      <c r="N30" s="62">
        <v>10</v>
      </c>
      <c r="O30" s="62" t="str">
        <v>Creamy Delights</v>
      </c>
      <c r="P30" s="64">
        <v>3.5</v>
      </c>
      <c r="Q30" s="65">
        <v>87.5</v>
      </c>
      <c r="R30" s="66">
        <v>45294</v>
      </c>
      <c r="S30" s="144">
        <v>45309</v>
      </c>
      <c r="T30" s="11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14"/>
      <c r="AG30" s="1"/>
    </row>
    <row r="31" spans="1:33" ht="13.2">
      <c r="A31" s="1"/>
      <c r="B31" s="8"/>
      <c r="C31" s="35"/>
      <c r="D31" s="155"/>
      <c r="E31" s="155"/>
      <c r="F31" s="155"/>
      <c r="G31" s="36"/>
      <c r="H31" s="9"/>
      <c r="I31" s="47"/>
      <c r="J31" s="149" t="str">
        <v>ITM014</v>
      </c>
      <c r="K31" s="67" t="str">
        <v>Meat</v>
      </c>
      <c r="L31" s="67" t="str">
        <v>Shrimp</v>
      </c>
      <c r="M31" s="68">
        <v>40</v>
      </c>
      <c r="N31" s="67">
        <v>15</v>
      </c>
      <c r="O31" s="67" t="str">
        <v>Seafood Express</v>
      </c>
      <c r="P31" s="69">
        <v>7</v>
      </c>
      <c r="Q31" s="70">
        <v>280</v>
      </c>
      <c r="R31" s="71">
        <v>45309</v>
      </c>
      <c r="S31" s="145">
        <v>45324</v>
      </c>
      <c r="T31" s="11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14"/>
      <c r="AG31" s="1"/>
    </row>
    <row r="32" spans="1:33" ht="13.2">
      <c r="A32" s="1"/>
      <c r="B32" s="8"/>
      <c r="C32" s="43"/>
      <c r="D32" s="155"/>
      <c r="E32" s="155"/>
      <c r="F32" s="155"/>
      <c r="G32" s="44"/>
      <c r="H32" s="9"/>
      <c r="I32" s="47"/>
      <c r="J32" s="148" t="str">
        <v>ITM015</v>
      </c>
      <c r="K32" s="62" t="str">
        <v>Dairy</v>
      </c>
      <c r="L32" s="62" t="str">
        <v>Greek Yogurt</v>
      </c>
      <c r="M32" s="63">
        <v>15</v>
      </c>
      <c r="N32" s="62">
        <v>5</v>
      </c>
      <c r="O32" s="62" t="str">
        <v>Grain Harvest</v>
      </c>
      <c r="P32" s="64">
        <v>4</v>
      </c>
      <c r="Q32" s="65">
        <v>60</v>
      </c>
      <c r="R32" s="66">
        <v>45313</v>
      </c>
      <c r="S32" s="144">
        <v>45328</v>
      </c>
      <c r="T32" s="11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14"/>
      <c r="AG32" s="1"/>
    </row>
    <row r="33" spans="1:33" ht="13.2">
      <c r="A33" s="1"/>
      <c r="B33" s="8"/>
      <c r="C33" s="47"/>
      <c r="D33" s="10"/>
      <c r="E33" s="10"/>
      <c r="F33" s="10"/>
      <c r="G33" s="11"/>
      <c r="H33" s="9"/>
      <c r="I33" s="47"/>
      <c r="J33" s="149" t="str">
        <v>ITM016</v>
      </c>
      <c r="K33" s="67" t="str">
        <v>Condiments</v>
      </c>
      <c r="L33" s="67" t="str">
        <v>Soy Sauce</v>
      </c>
      <c r="M33" s="68">
        <v>50</v>
      </c>
      <c r="N33" s="67">
        <v>15</v>
      </c>
      <c r="O33" s="67" t="str">
        <v>Asian Flavors</v>
      </c>
      <c r="P33" s="69">
        <v>2.2999999999999998</v>
      </c>
      <c r="Q33" s="70">
        <v>115</v>
      </c>
      <c r="R33" s="71">
        <v>45319</v>
      </c>
      <c r="S33" s="145">
        <v>45334</v>
      </c>
      <c r="T33" s="11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14"/>
      <c r="AG33" s="1"/>
    </row>
    <row r="34" spans="1:33" ht="13.8">
      <c r="A34" s="1"/>
      <c r="B34" s="8"/>
      <c r="C34" s="50"/>
      <c r="D34" s="165" t="str">
        <f ca="1">HELPER!F2</f>
        <v>Vegetables</v>
      </c>
      <c r="E34" s="52"/>
      <c r="F34" s="166">
        <f ca="1">HELPER!G2</f>
        <v>497.5</v>
      </c>
      <c r="G34" s="53"/>
      <c r="H34" s="9"/>
      <c r="I34" s="47"/>
      <c r="J34" s="148" t="str">
        <v>ITM017</v>
      </c>
      <c r="K34" s="62" t="str">
        <v>Vegetables</v>
      </c>
      <c r="L34" s="62" t="str">
        <v>Bananas</v>
      </c>
      <c r="M34" s="63">
        <v>70</v>
      </c>
      <c r="N34" s="62">
        <v>25</v>
      </c>
      <c r="O34" s="62" t="str">
        <v>Tropical Farms</v>
      </c>
      <c r="P34" s="64">
        <v>0.5</v>
      </c>
      <c r="Q34" s="65">
        <v>35</v>
      </c>
      <c r="R34" s="66">
        <v>45323</v>
      </c>
      <c r="S34" s="144">
        <v>45338</v>
      </c>
      <c r="T34" s="11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14"/>
      <c r="AG34" s="1"/>
    </row>
    <row r="35" spans="1:33" ht="13.8">
      <c r="A35" s="1"/>
      <c r="B35" s="8"/>
      <c r="C35" s="47"/>
      <c r="D35" s="155"/>
      <c r="E35" s="52"/>
      <c r="F35" s="152"/>
      <c r="G35" s="11"/>
      <c r="H35" s="9"/>
      <c r="I35" s="47"/>
      <c r="J35" s="149" t="str">
        <v>ITM018</v>
      </c>
      <c r="K35" s="67" t="str">
        <v>Meat</v>
      </c>
      <c r="L35" s="67" t="str">
        <v>Chicken Breast</v>
      </c>
      <c r="M35" s="68">
        <v>7</v>
      </c>
      <c r="N35" s="67">
        <v>10</v>
      </c>
      <c r="O35" s="67" t="str">
        <v>Sweet Delights</v>
      </c>
      <c r="P35" s="69">
        <v>3.5</v>
      </c>
      <c r="Q35" s="70">
        <v>87.5</v>
      </c>
      <c r="R35" s="71">
        <v>45327</v>
      </c>
      <c r="S35" s="145">
        <v>45342</v>
      </c>
      <c r="T35" s="11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14"/>
      <c r="AG35" s="1"/>
    </row>
    <row r="36" spans="1:33" ht="13.8">
      <c r="A36" s="1"/>
      <c r="B36" s="8"/>
      <c r="C36" s="47"/>
      <c r="D36" s="165" t="str">
        <f ca="1">HELPER!F3</f>
        <v>Meat</v>
      </c>
      <c r="E36" s="52"/>
      <c r="F36" s="166">
        <f ca="1">HELPER!G3</f>
        <v>867.5</v>
      </c>
      <c r="G36" s="11"/>
      <c r="H36" s="9"/>
      <c r="I36" s="47"/>
      <c r="J36" s="148" t="str">
        <v>ITM019</v>
      </c>
      <c r="K36" s="62" t="str">
        <v>Dairy</v>
      </c>
      <c r="L36" s="62" t="str">
        <v>Greek Yogurt</v>
      </c>
      <c r="M36" s="63">
        <v>35</v>
      </c>
      <c r="N36" s="62">
        <v>10</v>
      </c>
      <c r="O36" s="62" t="str">
        <v>Poultry Haven</v>
      </c>
      <c r="P36" s="64">
        <v>4.5</v>
      </c>
      <c r="Q36" s="65">
        <v>157.5</v>
      </c>
      <c r="R36" s="66">
        <v>45332</v>
      </c>
      <c r="S36" s="144">
        <v>45346</v>
      </c>
      <c r="T36" s="11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14"/>
      <c r="AG36" s="1"/>
    </row>
    <row r="37" spans="1:33" ht="13.8">
      <c r="A37" s="1"/>
      <c r="B37" s="8"/>
      <c r="C37" s="47"/>
      <c r="D37" s="155"/>
      <c r="E37" s="52"/>
      <c r="F37" s="152"/>
      <c r="G37" s="11"/>
      <c r="H37" s="9"/>
      <c r="I37" s="47"/>
      <c r="J37" s="149" t="str">
        <v>ITM020</v>
      </c>
      <c r="K37" s="67" t="str">
        <v>Condiments</v>
      </c>
      <c r="L37" s="67" t="str">
        <v>Soy Sauce</v>
      </c>
      <c r="M37" s="68">
        <v>60</v>
      </c>
      <c r="N37" s="67">
        <v>20</v>
      </c>
      <c r="O37" s="67" t="str">
        <v>Can-O-Taste Inc.</v>
      </c>
      <c r="P37" s="69">
        <v>1.8</v>
      </c>
      <c r="Q37" s="70">
        <v>108</v>
      </c>
      <c r="R37" s="71">
        <v>45337</v>
      </c>
      <c r="S37" s="145">
        <v>45350</v>
      </c>
      <c r="T37" s="11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14"/>
      <c r="AG37" s="1"/>
    </row>
    <row r="38" spans="1:33" ht="13.8">
      <c r="A38" s="1"/>
      <c r="B38" s="8"/>
      <c r="C38" s="47"/>
      <c r="D38" s="165" t="str">
        <f ca="1">HELPER!F4</f>
        <v>Condiments</v>
      </c>
      <c r="E38" s="52"/>
      <c r="F38" s="166">
        <f ca="1">HELPER!G4</f>
        <v>562</v>
      </c>
      <c r="G38" s="11"/>
      <c r="H38" s="9"/>
      <c r="I38" s="47"/>
      <c r="J38" s="148"/>
      <c r="K38" s="62"/>
      <c r="L38" s="62"/>
      <c r="M38" s="63"/>
      <c r="N38" s="62"/>
      <c r="O38" s="62"/>
      <c r="P38" s="64"/>
      <c r="Q38" s="65"/>
      <c r="R38" s="66"/>
      <c r="S38" s="144"/>
      <c r="T38" s="11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14"/>
      <c r="AG38" s="1"/>
    </row>
    <row r="39" spans="1:33" ht="13.8">
      <c r="A39" s="1"/>
      <c r="B39" s="8"/>
      <c r="C39" s="47"/>
      <c r="D39" s="155"/>
      <c r="E39" s="52"/>
      <c r="F39" s="152"/>
      <c r="G39" s="11"/>
      <c r="H39" s="9"/>
      <c r="I39" s="47"/>
      <c r="J39" s="149"/>
      <c r="K39" s="67"/>
      <c r="L39" s="67"/>
      <c r="M39" s="68"/>
      <c r="N39" s="67"/>
      <c r="O39" s="67"/>
      <c r="P39" s="69"/>
      <c r="Q39" s="70"/>
      <c r="R39" s="71"/>
      <c r="S39" s="145"/>
      <c r="T39" s="11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14"/>
      <c r="AG39" s="1"/>
    </row>
    <row r="40" spans="1:33" ht="13.8">
      <c r="A40" s="1"/>
      <c r="B40" s="8"/>
      <c r="C40" s="47"/>
      <c r="D40" s="165" t="str">
        <f ca="1">HELPER!F5</f>
        <v>Dairy</v>
      </c>
      <c r="E40" s="52"/>
      <c r="F40" s="166">
        <f ca="1">HELPER!G5</f>
        <v>397.5</v>
      </c>
      <c r="G40" s="11"/>
      <c r="H40" s="9"/>
      <c r="I40" s="47"/>
      <c r="J40" s="148"/>
      <c r="K40" s="62"/>
      <c r="L40" s="62"/>
      <c r="M40" s="63"/>
      <c r="N40" s="62"/>
      <c r="O40" s="62"/>
      <c r="P40" s="64"/>
      <c r="Q40" s="65"/>
      <c r="R40" s="66"/>
      <c r="S40" s="144"/>
      <c r="T40" s="11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14"/>
      <c r="AG40" s="1"/>
    </row>
    <row r="41" spans="1:33" ht="13.8">
      <c r="A41" s="1"/>
      <c r="B41" s="8"/>
      <c r="C41" s="47"/>
      <c r="D41" s="155"/>
      <c r="E41" s="52"/>
      <c r="F41" s="152"/>
      <c r="G41" s="11"/>
      <c r="H41" s="9"/>
      <c r="I41" s="47"/>
      <c r="J41" s="149"/>
      <c r="K41" s="67"/>
      <c r="L41" s="67"/>
      <c r="M41" s="68"/>
      <c r="N41" s="67"/>
      <c r="O41" s="67"/>
      <c r="P41" s="69"/>
      <c r="Q41" s="70"/>
      <c r="R41" s="71"/>
      <c r="S41" s="145"/>
      <c r="T41" s="11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14"/>
      <c r="AG41" s="1"/>
    </row>
    <row r="42" spans="1:33" ht="13.8">
      <c r="A42" s="1"/>
      <c r="B42" s="8"/>
      <c r="C42" s="72"/>
      <c r="D42" s="73"/>
      <c r="E42" s="73"/>
      <c r="F42" s="73"/>
      <c r="G42" s="74"/>
      <c r="H42" s="9"/>
      <c r="I42" s="47"/>
      <c r="J42" s="148"/>
      <c r="K42" s="62"/>
      <c r="L42" s="62"/>
      <c r="M42" s="63"/>
      <c r="N42" s="62"/>
      <c r="O42" s="62"/>
      <c r="P42" s="64"/>
      <c r="Q42" s="65"/>
      <c r="R42" s="66"/>
      <c r="S42" s="144"/>
      <c r="T42" s="11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14"/>
      <c r="AG42" s="1"/>
    </row>
    <row r="43" spans="1:33" ht="17.399999999999999">
      <c r="A43" s="1"/>
      <c r="B43" s="8"/>
      <c r="C43" s="9"/>
      <c r="D43" s="51"/>
      <c r="E43" s="52"/>
      <c r="F43" s="76"/>
      <c r="G43" s="9"/>
      <c r="H43" s="9"/>
      <c r="I43" s="47"/>
      <c r="J43" s="149"/>
      <c r="K43" s="67"/>
      <c r="L43" s="67"/>
      <c r="M43" s="68"/>
      <c r="N43" s="67"/>
      <c r="O43" s="67"/>
      <c r="P43" s="69"/>
      <c r="Q43" s="70"/>
      <c r="R43" s="71"/>
      <c r="S43" s="145"/>
      <c r="T43" s="11"/>
      <c r="U43" s="9"/>
      <c r="V43" s="77"/>
      <c r="W43" s="187" t="s">
        <v>30</v>
      </c>
      <c r="X43" s="176"/>
      <c r="Y43" s="176"/>
      <c r="Z43" s="176"/>
      <c r="AA43" s="176"/>
      <c r="AB43" s="176"/>
      <c r="AC43" s="176"/>
      <c r="AD43" s="176"/>
      <c r="AE43" s="78"/>
      <c r="AF43" s="14"/>
      <c r="AG43" s="1"/>
    </row>
    <row r="44" spans="1:33" ht="13.2">
      <c r="A44" s="1"/>
      <c r="B44" s="8"/>
      <c r="C44" s="9"/>
      <c r="D44" s="9"/>
      <c r="E44" s="9"/>
      <c r="F44" s="9"/>
      <c r="G44" s="9"/>
      <c r="H44" s="9"/>
      <c r="I44" s="47"/>
      <c r="J44" s="148"/>
      <c r="K44" s="62"/>
      <c r="L44" s="62"/>
      <c r="M44" s="63"/>
      <c r="N44" s="62"/>
      <c r="O44" s="62"/>
      <c r="P44" s="64"/>
      <c r="Q44" s="65"/>
      <c r="R44" s="66"/>
      <c r="S44" s="144"/>
      <c r="T44" s="11"/>
      <c r="U44" s="9"/>
      <c r="V44" s="79"/>
      <c r="W44" s="181"/>
      <c r="X44" s="155"/>
      <c r="Y44" s="155"/>
      <c r="Z44" s="155"/>
      <c r="AA44" s="155"/>
      <c r="AB44" s="155"/>
      <c r="AC44" s="155"/>
      <c r="AD44" s="155"/>
      <c r="AE44" s="80"/>
      <c r="AF44" s="14"/>
      <c r="AG44" s="1"/>
    </row>
    <row r="45" spans="1:33" ht="13.2">
      <c r="A45" s="1"/>
      <c r="B45" s="8"/>
      <c r="C45" s="9"/>
      <c r="D45" s="10"/>
      <c r="E45" s="10"/>
      <c r="F45" s="10"/>
      <c r="G45" s="9"/>
      <c r="H45" s="9"/>
      <c r="I45" s="47"/>
      <c r="J45" s="149"/>
      <c r="K45" s="67"/>
      <c r="L45" s="67"/>
      <c r="M45" s="68"/>
      <c r="N45" s="67"/>
      <c r="O45" s="67"/>
      <c r="P45" s="69"/>
      <c r="Q45" s="70"/>
      <c r="R45" s="71"/>
      <c r="S45" s="145"/>
      <c r="T45" s="11"/>
      <c r="U45" s="9"/>
      <c r="V45" s="188" t="s">
        <v>31</v>
      </c>
      <c r="W45" s="155"/>
      <c r="X45" s="155"/>
      <c r="Y45" s="155"/>
      <c r="Z45" s="155"/>
      <c r="AA45" s="155"/>
      <c r="AB45" s="155"/>
      <c r="AC45" s="155"/>
      <c r="AD45" s="155"/>
      <c r="AE45" s="179"/>
      <c r="AF45" s="14"/>
      <c r="AG45" s="1"/>
    </row>
    <row r="46" spans="1:33" ht="13.2">
      <c r="A46" s="1"/>
      <c r="B46" s="8"/>
      <c r="C46" s="9"/>
      <c r="D46" s="10"/>
      <c r="E46" s="10"/>
      <c r="F46" s="10"/>
      <c r="G46" s="9"/>
      <c r="H46" s="9"/>
      <c r="I46" s="47"/>
      <c r="J46" s="148"/>
      <c r="K46" s="62"/>
      <c r="L46" s="62"/>
      <c r="M46" s="63"/>
      <c r="N46" s="62"/>
      <c r="O46" s="62"/>
      <c r="P46" s="64"/>
      <c r="Q46" s="65"/>
      <c r="R46" s="66"/>
      <c r="S46" s="144"/>
      <c r="T46" s="11"/>
      <c r="U46" s="9"/>
      <c r="V46" s="178"/>
      <c r="W46" s="155"/>
      <c r="X46" s="155"/>
      <c r="Y46" s="155"/>
      <c r="Z46" s="155"/>
      <c r="AA46" s="155"/>
      <c r="AB46" s="155"/>
      <c r="AC46" s="155"/>
      <c r="AD46" s="155"/>
      <c r="AE46" s="179"/>
      <c r="AF46" s="14"/>
      <c r="AG46" s="1"/>
    </row>
    <row r="47" spans="1:33" ht="13.2">
      <c r="A47" s="1"/>
      <c r="B47" s="8"/>
      <c r="C47" s="9"/>
      <c r="D47" s="10"/>
      <c r="E47" s="10"/>
      <c r="F47" s="10"/>
      <c r="G47" s="9"/>
      <c r="H47" s="9"/>
      <c r="I47" s="47"/>
      <c r="J47" s="149"/>
      <c r="K47" s="67"/>
      <c r="L47" s="67"/>
      <c r="M47" s="68"/>
      <c r="N47" s="67"/>
      <c r="O47" s="67"/>
      <c r="P47" s="69"/>
      <c r="Q47" s="70"/>
      <c r="R47" s="71"/>
      <c r="S47" s="145"/>
      <c r="T47" s="11"/>
      <c r="U47" s="9"/>
      <c r="V47" s="178"/>
      <c r="W47" s="155"/>
      <c r="X47" s="155"/>
      <c r="Y47" s="155"/>
      <c r="Z47" s="155"/>
      <c r="AA47" s="155"/>
      <c r="AB47" s="155"/>
      <c r="AC47" s="155"/>
      <c r="AD47" s="155"/>
      <c r="AE47" s="179"/>
      <c r="AF47" s="14"/>
      <c r="AG47" s="1"/>
    </row>
    <row r="48" spans="1:33" ht="13.2">
      <c r="A48" s="1"/>
      <c r="B48" s="8"/>
      <c r="C48" s="9"/>
      <c r="D48" s="10"/>
      <c r="E48" s="10"/>
      <c r="F48" s="10"/>
      <c r="G48" s="9"/>
      <c r="H48" s="9"/>
      <c r="I48" s="47"/>
      <c r="J48" s="148"/>
      <c r="K48" s="62"/>
      <c r="L48" s="62"/>
      <c r="M48" s="63"/>
      <c r="N48" s="62"/>
      <c r="O48" s="62"/>
      <c r="P48" s="64"/>
      <c r="Q48" s="65"/>
      <c r="R48" s="66"/>
      <c r="S48" s="144"/>
      <c r="T48" s="11"/>
      <c r="U48" s="9"/>
      <c r="V48" s="178"/>
      <c r="W48" s="155"/>
      <c r="X48" s="155"/>
      <c r="Y48" s="155"/>
      <c r="Z48" s="155"/>
      <c r="AA48" s="155"/>
      <c r="AB48" s="155"/>
      <c r="AC48" s="155"/>
      <c r="AD48" s="155"/>
      <c r="AE48" s="179"/>
      <c r="AF48" s="14"/>
      <c r="AG48" s="1"/>
    </row>
    <row r="49" spans="1:33" ht="13.2">
      <c r="A49" s="1"/>
      <c r="B49" s="8"/>
      <c r="C49" s="9"/>
      <c r="D49" s="10"/>
      <c r="E49" s="10"/>
      <c r="F49" s="10"/>
      <c r="G49" s="9"/>
      <c r="H49" s="9"/>
      <c r="I49" s="47"/>
      <c r="J49" s="149"/>
      <c r="K49" s="67"/>
      <c r="L49" s="67"/>
      <c r="M49" s="68"/>
      <c r="N49" s="67"/>
      <c r="O49" s="67"/>
      <c r="P49" s="69"/>
      <c r="Q49" s="70"/>
      <c r="R49" s="71"/>
      <c r="S49" s="145"/>
      <c r="T49" s="11"/>
      <c r="U49" s="9"/>
      <c r="V49" s="178"/>
      <c r="W49" s="155"/>
      <c r="X49" s="155"/>
      <c r="Y49" s="155"/>
      <c r="Z49" s="155"/>
      <c r="AA49" s="155"/>
      <c r="AB49" s="155"/>
      <c r="AC49" s="155"/>
      <c r="AD49" s="155"/>
      <c r="AE49" s="179"/>
      <c r="AF49" s="14"/>
      <c r="AG49" s="1"/>
    </row>
    <row r="50" spans="1:33" ht="13.2">
      <c r="A50" s="1"/>
      <c r="B50" s="8"/>
      <c r="C50" s="9"/>
      <c r="D50" s="10"/>
      <c r="E50" s="10"/>
      <c r="F50" s="10"/>
      <c r="G50" s="9"/>
      <c r="H50" s="9"/>
      <c r="I50" s="47"/>
      <c r="J50" s="148"/>
      <c r="K50" s="62"/>
      <c r="L50" s="62"/>
      <c r="M50" s="63"/>
      <c r="N50" s="62"/>
      <c r="O50" s="62"/>
      <c r="P50" s="64"/>
      <c r="Q50" s="65"/>
      <c r="R50" s="66"/>
      <c r="S50" s="144"/>
      <c r="T50" s="11"/>
      <c r="U50" s="9"/>
      <c r="V50" s="178"/>
      <c r="W50" s="155"/>
      <c r="X50" s="155"/>
      <c r="Y50" s="155"/>
      <c r="Z50" s="155"/>
      <c r="AA50" s="155"/>
      <c r="AB50" s="155"/>
      <c r="AC50" s="155"/>
      <c r="AD50" s="155"/>
      <c r="AE50" s="179"/>
      <c r="AF50" s="14"/>
      <c r="AG50" s="1"/>
    </row>
    <row r="51" spans="1:33" ht="13.2">
      <c r="A51" s="1"/>
      <c r="B51" s="8"/>
      <c r="C51" s="9"/>
      <c r="D51" s="10"/>
      <c r="E51" s="10"/>
      <c r="F51" s="10"/>
      <c r="G51" s="9"/>
      <c r="H51" s="9"/>
      <c r="I51" s="47"/>
      <c r="J51" s="149"/>
      <c r="K51" s="67"/>
      <c r="L51" s="67"/>
      <c r="M51" s="68"/>
      <c r="N51" s="67"/>
      <c r="O51" s="67"/>
      <c r="P51" s="69"/>
      <c r="Q51" s="70"/>
      <c r="R51" s="71"/>
      <c r="S51" s="145"/>
      <c r="T51" s="11"/>
      <c r="U51" s="9"/>
      <c r="V51" s="178"/>
      <c r="W51" s="155"/>
      <c r="X51" s="155"/>
      <c r="Y51" s="155"/>
      <c r="Z51" s="155"/>
      <c r="AA51" s="155"/>
      <c r="AB51" s="155"/>
      <c r="AC51" s="155"/>
      <c r="AD51" s="155"/>
      <c r="AE51" s="179"/>
      <c r="AF51" s="14"/>
      <c r="AG51" s="1"/>
    </row>
    <row r="52" spans="1:33" ht="13.2">
      <c r="A52" s="1"/>
      <c r="B52" s="8"/>
      <c r="C52" s="9"/>
      <c r="D52" s="10"/>
      <c r="E52" s="10"/>
      <c r="F52" s="10"/>
      <c r="G52" s="9"/>
      <c r="H52" s="9"/>
      <c r="I52" s="47"/>
      <c r="J52" s="148"/>
      <c r="K52" s="62"/>
      <c r="L52" s="62"/>
      <c r="M52" s="63"/>
      <c r="N52" s="62"/>
      <c r="O52" s="62"/>
      <c r="P52" s="64"/>
      <c r="Q52" s="65"/>
      <c r="R52" s="66"/>
      <c r="S52" s="144"/>
      <c r="T52" s="11"/>
      <c r="U52" s="9"/>
      <c r="V52" s="178"/>
      <c r="W52" s="155"/>
      <c r="X52" s="155"/>
      <c r="Y52" s="155"/>
      <c r="Z52" s="155"/>
      <c r="AA52" s="155"/>
      <c r="AB52" s="155"/>
      <c r="AC52" s="155"/>
      <c r="AD52" s="155"/>
      <c r="AE52" s="179"/>
      <c r="AF52" s="14"/>
      <c r="AG52" s="1"/>
    </row>
    <row r="53" spans="1:33" ht="13.2">
      <c r="A53" s="1"/>
      <c r="B53" s="8"/>
      <c r="C53" s="9"/>
      <c r="D53" s="10"/>
      <c r="E53" s="10"/>
      <c r="F53" s="10"/>
      <c r="G53" s="9"/>
      <c r="H53" s="9"/>
      <c r="I53" s="47"/>
      <c r="J53" s="149"/>
      <c r="K53" s="67"/>
      <c r="L53" s="67"/>
      <c r="M53" s="68"/>
      <c r="N53" s="67"/>
      <c r="O53" s="67"/>
      <c r="P53" s="69"/>
      <c r="Q53" s="70"/>
      <c r="R53" s="71"/>
      <c r="S53" s="145"/>
      <c r="T53" s="11"/>
      <c r="U53" s="9"/>
      <c r="V53" s="178"/>
      <c r="W53" s="155"/>
      <c r="X53" s="155"/>
      <c r="Y53" s="155"/>
      <c r="Z53" s="155"/>
      <c r="AA53" s="155"/>
      <c r="AB53" s="155"/>
      <c r="AC53" s="155"/>
      <c r="AD53" s="155"/>
      <c r="AE53" s="179"/>
      <c r="AF53" s="14"/>
      <c r="AG53" s="1"/>
    </row>
    <row r="54" spans="1:33" ht="13.2">
      <c r="A54" s="1"/>
      <c r="B54" s="8"/>
      <c r="C54" s="9"/>
      <c r="D54" s="10"/>
      <c r="E54" s="10"/>
      <c r="F54" s="10"/>
      <c r="G54" s="9"/>
      <c r="H54" s="9"/>
      <c r="I54" s="47"/>
      <c r="J54" s="148"/>
      <c r="K54" s="62"/>
      <c r="L54" s="62"/>
      <c r="M54" s="63"/>
      <c r="N54" s="62"/>
      <c r="O54" s="62"/>
      <c r="P54" s="64"/>
      <c r="Q54" s="65"/>
      <c r="R54" s="66"/>
      <c r="S54" s="144"/>
      <c r="T54" s="11"/>
      <c r="U54" s="9"/>
      <c r="V54" s="178"/>
      <c r="W54" s="155"/>
      <c r="X54" s="155"/>
      <c r="Y54" s="155"/>
      <c r="Z54" s="155"/>
      <c r="AA54" s="155"/>
      <c r="AB54" s="155"/>
      <c r="AC54" s="155"/>
      <c r="AD54" s="155"/>
      <c r="AE54" s="179"/>
      <c r="AF54" s="14"/>
      <c r="AG54" s="1"/>
    </row>
    <row r="55" spans="1:33" ht="13.2">
      <c r="A55" s="1"/>
      <c r="B55" s="8"/>
      <c r="C55" s="9"/>
      <c r="D55" s="10"/>
      <c r="E55" s="10"/>
      <c r="F55" s="10"/>
      <c r="G55" s="9"/>
      <c r="H55" s="9"/>
      <c r="I55" s="47"/>
      <c r="J55" s="149"/>
      <c r="K55" s="67"/>
      <c r="L55" s="67"/>
      <c r="M55" s="68"/>
      <c r="N55" s="67"/>
      <c r="O55" s="67"/>
      <c r="P55" s="69"/>
      <c r="Q55" s="70"/>
      <c r="R55" s="71"/>
      <c r="S55" s="145"/>
      <c r="T55" s="11"/>
      <c r="U55" s="9"/>
      <c r="V55" s="178"/>
      <c r="W55" s="155"/>
      <c r="X55" s="155"/>
      <c r="Y55" s="155"/>
      <c r="Z55" s="155"/>
      <c r="AA55" s="155"/>
      <c r="AB55" s="155"/>
      <c r="AC55" s="155"/>
      <c r="AD55" s="155"/>
      <c r="AE55" s="179"/>
      <c r="AF55" s="14"/>
      <c r="AG55" s="1"/>
    </row>
    <row r="56" spans="1:33" ht="13.2">
      <c r="A56" s="1"/>
      <c r="B56" s="8"/>
      <c r="C56" s="9"/>
      <c r="D56" s="10"/>
      <c r="E56" s="10"/>
      <c r="F56" s="10"/>
      <c r="G56" s="9"/>
      <c r="H56" s="9"/>
      <c r="I56" s="47"/>
      <c r="J56" s="148"/>
      <c r="K56" s="62"/>
      <c r="L56" s="62"/>
      <c r="M56" s="63"/>
      <c r="N56" s="62"/>
      <c r="O56" s="62"/>
      <c r="P56" s="64"/>
      <c r="Q56" s="65"/>
      <c r="R56" s="66"/>
      <c r="S56" s="144"/>
      <c r="T56" s="11"/>
      <c r="U56" s="9"/>
      <c r="V56" s="178"/>
      <c r="W56" s="155"/>
      <c r="X56" s="155"/>
      <c r="Y56" s="155"/>
      <c r="Z56" s="155"/>
      <c r="AA56" s="155"/>
      <c r="AB56" s="155"/>
      <c r="AC56" s="155"/>
      <c r="AD56" s="155"/>
      <c r="AE56" s="179"/>
      <c r="AF56" s="14"/>
      <c r="AG56" s="1"/>
    </row>
    <row r="57" spans="1:33" ht="13.2">
      <c r="A57" s="1"/>
      <c r="B57" s="8"/>
      <c r="C57" s="9"/>
      <c r="D57" s="10"/>
      <c r="E57" s="10"/>
      <c r="F57" s="10"/>
      <c r="G57" s="9"/>
      <c r="H57" s="9"/>
      <c r="I57" s="47"/>
      <c r="J57" s="149"/>
      <c r="K57" s="67"/>
      <c r="L57" s="67"/>
      <c r="M57" s="68"/>
      <c r="N57" s="67"/>
      <c r="O57" s="67"/>
      <c r="P57" s="69"/>
      <c r="Q57" s="70"/>
      <c r="R57" s="71"/>
      <c r="S57" s="145"/>
      <c r="T57" s="11"/>
      <c r="U57" s="9"/>
      <c r="V57" s="178"/>
      <c r="W57" s="155"/>
      <c r="X57" s="155"/>
      <c r="Y57" s="155"/>
      <c r="Z57" s="155"/>
      <c r="AA57" s="155"/>
      <c r="AB57" s="155"/>
      <c r="AC57" s="155"/>
      <c r="AD57" s="155"/>
      <c r="AE57" s="179"/>
      <c r="AF57" s="14"/>
      <c r="AG57" s="1"/>
    </row>
    <row r="58" spans="1:33" ht="13.2">
      <c r="A58" s="1"/>
      <c r="B58" s="8"/>
      <c r="C58" s="9"/>
      <c r="D58" s="10"/>
      <c r="E58" s="10"/>
      <c r="F58" s="10"/>
      <c r="G58" s="9"/>
      <c r="H58" s="9"/>
      <c r="I58" s="47"/>
      <c r="J58" s="148"/>
      <c r="K58" s="62"/>
      <c r="L58" s="62"/>
      <c r="M58" s="63"/>
      <c r="N58" s="62"/>
      <c r="O58" s="62"/>
      <c r="P58" s="64"/>
      <c r="Q58" s="65"/>
      <c r="R58" s="66"/>
      <c r="S58" s="144"/>
      <c r="T58" s="11"/>
      <c r="U58" s="9"/>
      <c r="V58" s="178"/>
      <c r="W58" s="155"/>
      <c r="X58" s="155"/>
      <c r="Y58" s="155"/>
      <c r="Z58" s="155"/>
      <c r="AA58" s="155"/>
      <c r="AB58" s="155"/>
      <c r="AC58" s="155"/>
      <c r="AD58" s="155"/>
      <c r="AE58" s="179"/>
      <c r="AF58" s="14"/>
      <c r="AG58" s="1"/>
    </row>
    <row r="59" spans="1:33" ht="13.2">
      <c r="A59" s="1"/>
      <c r="B59" s="8"/>
      <c r="C59" s="9"/>
      <c r="D59" s="10"/>
      <c r="E59" s="10"/>
      <c r="F59" s="10"/>
      <c r="G59" s="9"/>
      <c r="H59" s="9"/>
      <c r="I59" s="47"/>
      <c r="J59" s="149"/>
      <c r="K59" s="67"/>
      <c r="L59" s="67"/>
      <c r="M59" s="68"/>
      <c r="N59" s="67"/>
      <c r="O59" s="67"/>
      <c r="P59" s="69"/>
      <c r="Q59" s="70"/>
      <c r="R59" s="71"/>
      <c r="S59" s="145"/>
      <c r="T59" s="11"/>
      <c r="U59" s="9"/>
      <c r="V59" s="178"/>
      <c r="W59" s="155"/>
      <c r="X59" s="155"/>
      <c r="Y59" s="155"/>
      <c r="Z59" s="155"/>
      <c r="AA59" s="155"/>
      <c r="AB59" s="155"/>
      <c r="AC59" s="155"/>
      <c r="AD59" s="155"/>
      <c r="AE59" s="179"/>
      <c r="AF59" s="14"/>
      <c r="AG59" s="1"/>
    </row>
    <row r="60" spans="1:33" ht="13.2">
      <c r="A60" s="1"/>
      <c r="B60" s="8"/>
      <c r="C60" s="9"/>
      <c r="D60" s="10"/>
      <c r="E60" s="10"/>
      <c r="F60" s="10"/>
      <c r="G60" s="9"/>
      <c r="H60" s="9"/>
      <c r="I60" s="47"/>
      <c r="J60" s="148"/>
      <c r="K60" s="62"/>
      <c r="L60" s="62"/>
      <c r="M60" s="63"/>
      <c r="N60" s="62"/>
      <c r="O60" s="62"/>
      <c r="P60" s="64"/>
      <c r="Q60" s="65"/>
      <c r="R60" s="66"/>
      <c r="S60" s="144"/>
      <c r="T60" s="11"/>
      <c r="U60" s="9"/>
      <c r="V60" s="178"/>
      <c r="W60" s="155"/>
      <c r="X60" s="155"/>
      <c r="Y60" s="155"/>
      <c r="Z60" s="155"/>
      <c r="AA60" s="155"/>
      <c r="AB60" s="155"/>
      <c r="AC60" s="155"/>
      <c r="AD60" s="155"/>
      <c r="AE60" s="179"/>
      <c r="AF60" s="14"/>
      <c r="AG60" s="1"/>
    </row>
    <row r="61" spans="1:33" ht="13.2">
      <c r="A61" s="1"/>
      <c r="B61" s="8"/>
      <c r="C61" s="9"/>
      <c r="D61" s="10"/>
      <c r="E61" s="10"/>
      <c r="F61" s="10"/>
      <c r="G61" s="9"/>
      <c r="H61" s="9"/>
      <c r="I61" s="47"/>
      <c r="J61" s="149"/>
      <c r="K61" s="67"/>
      <c r="L61" s="67"/>
      <c r="M61" s="68"/>
      <c r="N61" s="67"/>
      <c r="O61" s="67"/>
      <c r="P61" s="69"/>
      <c r="Q61" s="70"/>
      <c r="R61" s="71"/>
      <c r="S61" s="145"/>
      <c r="T61" s="11"/>
      <c r="U61" s="9"/>
      <c r="V61" s="178"/>
      <c r="W61" s="155"/>
      <c r="X61" s="155"/>
      <c r="Y61" s="155"/>
      <c r="Z61" s="155"/>
      <c r="AA61" s="155"/>
      <c r="AB61" s="155"/>
      <c r="AC61" s="155"/>
      <c r="AD61" s="155"/>
      <c r="AE61" s="179"/>
      <c r="AF61" s="14"/>
      <c r="AG61" s="1"/>
    </row>
    <row r="62" spans="1:33" ht="13.2">
      <c r="A62" s="1"/>
      <c r="B62" s="8"/>
      <c r="C62" s="9"/>
      <c r="D62" s="10"/>
      <c r="E62" s="10"/>
      <c r="F62" s="10"/>
      <c r="G62" s="9"/>
      <c r="H62" s="9"/>
      <c r="I62" s="47"/>
      <c r="J62" s="148"/>
      <c r="K62" s="62"/>
      <c r="L62" s="62"/>
      <c r="M62" s="63"/>
      <c r="N62" s="62"/>
      <c r="O62" s="62"/>
      <c r="P62" s="64"/>
      <c r="Q62" s="65"/>
      <c r="R62" s="66"/>
      <c r="S62" s="144"/>
      <c r="T62" s="11"/>
      <c r="U62" s="9"/>
      <c r="V62" s="189"/>
      <c r="W62" s="183"/>
      <c r="X62" s="183"/>
      <c r="Y62" s="183"/>
      <c r="Z62" s="183"/>
      <c r="AA62" s="183"/>
      <c r="AB62" s="183"/>
      <c r="AC62" s="183"/>
      <c r="AD62" s="183"/>
      <c r="AE62" s="190"/>
      <c r="AF62" s="14"/>
      <c r="AG62" s="1"/>
    </row>
    <row r="63" spans="1:33" ht="13.2">
      <c r="A63" s="1"/>
      <c r="B63" s="8"/>
      <c r="C63" s="9"/>
      <c r="D63" s="10"/>
      <c r="E63" s="10"/>
      <c r="F63" s="10"/>
      <c r="G63" s="9"/>
      <c r="H63" s="9"/>
      <c r="I63" s="47"/>
      <c r="J63" s="149"/>
      <c r="K63" s="67"/>
      <c r="L63" s="67"/>
      <c r="M63" s="68"/>
      <c r="N63" s="67"/>
      <c r="O63" s="67"/>
      <c r="P63" s="69"/>
      <c r="Q63" s="70"/>
      <c r="R63" s="71"/>
      <c r="S63" s="145"/>
      <c r="T63" s="11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14"/>
      <c r="AG63" s="1"/>
    </row>
    <row r="64" spans="1:33" ht="13.2">
      <c r="A64" s="1"/>
      <c r="B64" s="8"/>
      <c r="C64" s="9"/>
      <c r="D64" s="10"/>
      <c r="E64" s="10"/>
      <c r="F64" s="10"/>
      <c r="G64" s="9"/>
      <c r="H64" s="9"/>
      <c r="I64" s="47"/>
      <c r="J64" s="148"/>
      <c r="K64" s="62"/>
      <c r="L64" s="62"/>
      <c r="M64" s="63"/>
      <c r="N64" s="62"/>
      <c r="O64" s="62"/>
      <c r="P64" s="64"/>
      <c r="Q64" s="65"/>
      <c r="R64" s="66"/>
      <c r="S64" s="144"/>
      <c r="T64" s="11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14"/>
      <c r="AG64" s="1"/>
    </row>
    <row r="65" spans="1:33" ht="13.2">
      <c r="A65" s="1"/>
      <c r="B65" s="8"/>
      <c r="C65" s="9"/>
      <c r="D65" s="10"/>
      <c r="E65" s="10"/>
      <c r="F65" s="10"/>
      <c r="G65" s="9"/>
      <c r="H65" s="9"/>
      <c r="I65" s="47"/>
      <c r="J65" s="149"/>
      <c r="K65" s="67"/>
      <c r="L65" s="67"/>
      <c r="M65" s="68"/>
      <c r="N65" s="67"/>
      <c r="O65" s="67"/>
      <c r="P65" s="69"/>
      <c r="Q65" s="70"/>
      <c r="R65" s="71"/>
      <c r="S65" s="145"/>
      <c r="T65" s="11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14"/>
      <c r="AG65" s="1"/>
    </row>
    <row r="66" spans="1:33" ht="13.2">
      <c r="A66" s="1"/>
      <c r="B66" s="8"/>
      <c r="C66" s="9"/>
      <c r="D66" s="10"/>
      <c r="E66" s="10"/>
      <c r="F66" s="10"/>
      <c r="G66" s="9"/>
      <c r="H66" s="9"/>
      <c r="I66" s="47"/>
      <c r="J66" s="148"/>
      <c r="K66" s="62"/>
      <c r="L66" s="62"/>
      <c r="M66" s="63"/>
      <c r="N66" s="62"/>
      <c r="O66" s="62"/>
      <c r="P66" s="64"/>
      <c r="Q66" s="65"/>
      <c r="R66" s="66"/>
      <c r="S66" s="144"/>
      <c r="T66" s="11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14"/>
      <c r="AG66" s="1"/>
    </row>
    <row r="67" spans="1:33" ht="13.2">
      <c r="A67" s="1"/>
      <c r="B67" s="8"/>
      <c r="C67" s="9"/>
      <c r="D67" s="10"/>
      <c r="E67" s="10"/>
      <c r="F67" s="10"/>
      <c r="G67" s="9"/>
      <c r="H67" s="9"/>
      <c r="I67" s="47"/>
      <c r="J67" s="149"/>
      <c r="K67" s="67"/>
      <c r="L67" s="67"/>
      <c r="M67" s="68"/>
      <c r="N67" s="67"/>
      <c r="O67" s="67"/>
      <c r="P67" s="69"/>
      <c r="Q67" s="70"/>
      <c r="R67" s="71"/>
      <c r="S67" s="145"/>
      <c r="T67" s="11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14"/>
      <c r="AG67" s="1"/>
    </row>
    <row r="68" spans="1:33" ht="13.2">
      <c r="A68" s="1"/>
      <c r="B68" s="8"/>
      <c r="C68" s="9"/>
      <c r="D68" s="10"/>
      <c r="E68" s="10"/>
      <c r="F68" s="10"/>
      <c r="G68" s="9"/>
      <c r="H68" s="9"/>
      <c r="I68" s="47"/>
      <c r="J68" s="148"/>
      <c r="K68" s="62"/>
      <c r="L68" s="62"/>
      <c r="M68" s="63"/>
      <c r="N68" s="62"/>
      <c r="O68" s="62"/>
      <c r="P68" s="64"/>
      <c r="Q68" s="65"/>
      <c r="R68" s="66"/>
      <c r="S68" s="144"/>
      <c r="T68" s="11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14"/>
      <c r="AG68" s="1"/>
    </row>
    <row r="69" spans="1:33" ht="13.2">
      <c r="A69" s="1"/>
      <c r="B69" s="8"/>
      <c r="C69" s="9"/>
      <c r="D69" s="10"/>
      <c r="E69" s="10"/>
      <c r="F69" s="10"/>
      <c r="G69" s="9"/>
      <c r="H69" s="9"/>
      <c r="I69" s="47"/>
      <c r="J69" s="149"/>
      <c r="K69" s="67"/>
      <c r="L69" s="67"/>
      <c r="M69" s="68"/>
      <c r="N69" s="67"/>
      <c r="O69" s="67"/>
      <c r="P69" s="69"/>
      <c r="Q69" s="70"/>
      <c r="R69" s="71"/>
      <c r="S69" s="145"/>
      <c r="T69" s="11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14"/>
      <c r="AG69" s="1"/>
    </row>
    <row r="70" spans="1:33" ht="13.2">
      <c r="A70" s="1"/>
      <c r="B70" s="8"/>
      <c r="C70" s="9"/>
      <c r="D70" s="10"/>
      <c r="E70" s="10"/>
      <c r="F70" s="10"/>
      <c r="G70" s="9"/>
      <c r="H70" s="9"/>
      <c r="I70" s="47"/>
      <c r="J70" s="148"/>
      <c r="K70" s="62"/>
      <c r="L70" s="62"/>
      <c r="M70" s="63"/>
      <c r="N70" s="62"/>
      <c r="O70" s="62"/>
      <c r="P70" s="64"/>
      <c r="Q70" s="65"/>
      <c r="R70" s="66"/>
      <c r="S70" s="144"/>
      <c r="T70" s="11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14"/>
      <c r="AG70" s="1"/>
    </row>
    <row r="71" spans="1:33" ht="13.2">
      <c r="A71" s="1"/>
      <c r="B71" s="8"/>
      <c r="C71" s="9"/>
      <c r="D71" s="10"/>
      <c r="E71" s="10"/>
      <c r="F71" s="10"/>
      <c r="G71" s="9"/>
      <c r="H71" s="9"/>
      <c r="I71" s="47"/>
      <c r="J71" s="149"/>
      <c r="K71" s="67"/>
      <c r="L71" s="67"/>
      <c r="M71" s="68"/>
      <c r="N71" s="67"/>
      <c r="O71" s="67"/>
      <c r="P71" s="69"/>
      <c r="Q71" s="70"/>
      <c r="R71" s="71"/>
      <c r="S71" s="145"/>
      <c r="T71" s="11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14"/>
      <c r="AG71" s="1"/>
    </row>
    <row r="72" spans="1:33" ht="13.2">
      <c r="A72" s="1"/>
      <c r="B72" s="8"/>
      <c r="C72" s="9"/>
      <c r="D72" s="10"/>
      <c r="E72" s="10"/>
      <c r="F72" s="10"/>
      <c r="G72" s="9"/>
      <c r="H72" s="9"/>
      <c r="I72" s="47"/>
      <c r="J72" s="148"/>
      <c r="K72" s="62"/>
      <c r="L72" s="62"/>
      <c r="M72" s="63"/>
      <c r="N72" s="62"/>
      <c r="O72" s="62"/>
      <c r="P72" s="64"/>
      <c r="Q72" s="65"/>
      <c r="R72" s="66"/>
      <c r="S72" s="144"/>
      <c r="T72" s="11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14"/>
      <c r="AG72" s="1"/>
    </row>
    <row r="73" spans="1:33" ht="13.2">
      <c r="A73" s="1"/>
      <c r="B73" s="8"/>
      <c r="C73" s="9"/>
      <c r="D73" s="10"/>
      <c r="E73" s="10"/>
      <c r="F73" s="10"/>
      <c r="G73" s="9"/>
      <c r="H73" s="9"/>
      <c r="I73" s="47"/>
      <c r="J73" s="149"/>
      <c r="K73" s="67"/>
      <c r="L73" s="67"/>
      <c r="M73" s="68"/>
      <c r="N73" s="67"/>
      <c r="O73" s="67"/>
      <c r="P73" s="69"/>
      <c r="Q73" s="70"/>
      <c r="R73" s="71"/>
      <c r="S73" s="145"/>
      <c r="T73" s="11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14"/>
      <c r="AG73" s="1"/>
    </row>
    <row r="74" spans="1:33" ht="13.2">
      <c r="A74" s="1"/>
      <c r="B74" s="8"/>
      <c r="C74" s="9"/>
      <c r="D74" s="10"/>
      <c r="E74" s="10"/>
      <c r="F74" s="10"/>
      <c r="G74" s="9"/>
      <c r="H74" s="9"/>
      <c r="I74" s="47"/>
      <c r="J74" s="148"/>
      <c r="K74" s="62"/>
      <c r="L74" s="62"/>
      <c r="M74" s="63"/>
      <c r="N74" s="62"/>
      <c r="O74" s="62"/>
      <c r="P74" s="64"/>
      <c r="Q74" s="65"/>
      <c r="R74" s="66"/>
      <c r="S74" s="144"/>
      <c r="T74" s="11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14"/>
      <c r="AG74" s="1"/>
    </row>
    <row r="75" spans="1:33" ht="13.2">
      <c r="A75" s="1"/>
      <c r="B75" s="8"/>
      <c r="C75" s="9"/>
      <c r="D75" s="10"/>
      <c r="E75" s="10"/>
      <c r="F75" s="10"/>
      <c r="G75" s="9"/>
      <c r="H75" s="9"/>
      <c r="I75" s="47"/>
      <c r="J75" s="149"/>
      <c r="K75" s="67"/>
      <c r="L75" s="67"/>
      <c r="M75" s="68"/>
      <c r="N75" s="67"/>
      <c r="O75" s="67"/>
      <c r="P75" s="69"/>
      <c r="Q75" s="70"/>
      <c r="R75" s="71"/>
      <c r="S75" s="145"/>
      <c r="T75" s="11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14"/>
      <c r="AG75" s="1"/>
    </row>
    <row r="76" spans="1:33" ht="13.2">
      <c r="A76" s="1"/>
      <c r="B76" s="8"/>
      <c r="C76" s="9"/>
      <c r="D76" s="10"/>
      <c r="E76" s="10"/>
      <c r="F76" s="10"/>
      <c r="G76" s="9"/>
      <c r="H76" s="9"/>
      <c r="I76" s="47"/>
      <c r="J76" s="148"/>
      <c r="K76" s="62"/>
      <c r="L76" s="62"/>
      <c r="M76" s="63"/>
      <c r="N76" s="62"/>
      <c r="O76" s="62"/>
      <c r="P76" s="64"/>
      <c r="Q76" s="65"/>
      <c r="R76" s="66"/>
      <c r="S76" s="144"/>
      <c r="T76" s="11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14"/>
      <c r="AG76" s="1"/>
    </row>
    <row r="77" spans="1:33" ht="13.2">
      <c r="A77" s="1"/>
      <c r="B77" s="8"/>
      <c r="C77" s="9"/>
      <c r="D77" s="10"/>
      <c r="E77" s="10"/>
      <c r="F77" s="10"/>
      <c r="G77" s="9"/>
      <c r="H77" s="9"/>
      <c r="I77" s="47"/>
      <c r="J77" s="149"/>
      <c r="K77" s="67"/>
      <c r="L77" s="67"/>
      <c r="M77" s="68"/>
      <c r="N77" s="67"/>
      <c r="O77" s="67"/>
      <c r="P77" s="69"/>
      <c r="Q77" s="70"/>
      <c r="R77" s="71"/>
      <c r="S77" s="145"/>
      <c r="T77" s="11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14"/>
      <c r="AG77" s="1"/>
    </row>
    <row r="78" spans="1:33" ht="13.2">
      <c r="A78" s="1"/>
      <c r="B78" s="8"/>
      <c r="C78" s="9"/>
      <c r="D78" s="10"/>
      <c r="E78" s="10"/>
      <c r="F78" s="10"/>
      <c r="G78" s="9"/>
      <c r="H78" s="9"/>
      <c r="I78" s="47"/>
      <c r="J78" s="148"/>
      <c r="K78" s="62"/>
      <c r="L78" s="62"/>
      <c r="M78" s="63"/>
      <c r="N78" s="62"/>
      <c r="O78" s="62"/>
      <c r="P78" s="64"/>
      <c r="Q78" s="65"/>
      <c r="R78" s="66"/>
      <c r="S78" s="144"/>
      <c r="T78" s="11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14"/>
      <c r="AG78" s="1"/>
    </row>
    <row r="79" spans="1:33" ht="13.2">
      <c r="A79" s="1"/>
      <c r="B79" s="8"/>
      <c r="C79" s="9"/>
      <c r="D79" s="10"/>
      <c r="E79" s="10"/>
      <c r="F79" s="10"/>
      <c r="G79" s="9"/>
      <c r="H79" s="9"/>
      <c r="I79" s="47"/>
      <c r="J79" s="149"/>
      <c r="K79" s="67"/>
      <c r="L79" s="67"/>
      <c r="M79" s="68"/>
      <c r="N79" s="67"/>
      <c r="O79" s="67"/>
      <c r="P79" s="69"/>
      <c r="Q79" s="70"/>
      <c r="R79" s="71"/>
      <c r="S79" s="145"/>
      <c r="T79" s="11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14"/>
      <c r="AG79" s="1"/>
    </row>
    <row r="80" spans="1:33" ht="13.2">
      <c r="A80" s="1"/>
      <c r="B80" s="8"/>
      <c r="C80" s="9"/>
      <c r="D80" s="10"/>
      <c r="E80" s="10"/>
      <c r="F80" s="10"/>
      <c r="G80" s="9"/>
      <c r="H80" s="9"/>
      <c r="I80" s="47"/>
      <c r="J80" s="148"/>
      <c r="K80" s="62"/>
      <c r="L80" s="62"/>
      <c r="M80" s="63"/>
      <c r="N80" s="62"/>
      <c r="O80" s="62"/>
      <c r="P80" s="64"/>
      <c r="Q80" s="65"/>
      <c r="R80" s="66"/>
      <c r="S80" s="144"/>
      <c r="T80" s="11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14"/>
      <c r="AG80" s="1"/>
    </row>
    <row r="81" spans="1:33" ht="13.2">
      <c r="A81" s="1"/>
      <c r="B81" s="8"/>
      <c r="C81" s="9"/>
      <c r="D81" s="10"/>
      <c r="E81" s="10"/>
      <c r="F81" s="10"/>
      <c r="G81" s="9"/>
      <c r="H81" s="9"/>
      <c r="I81" s="47"/>
      <c r="J81" s="149"/>
      <c r="K81" s="67"/>
      <c r="L81" s="67"/>
      <c r="M81" s="68"/>
      <c r="N81" s="67"/>
      <c r="O81" s="67"/>
      <c r="P81" s="69"/>
      <c r="Q81" s="70"/>
      <c r="R81" s="71"/>
      <c r="S81" s="145"/>
      <c r="T81" s="11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14"/>
      <c r="AG81" s="1"/>
    </row>
    <row r="82" spans="1:33" ht="13.2">
      <c r="A82" s="1"/>
      <c r="B82" s="8"/>
      <c r="C82" s="9"/>
      <c r="D82" s="10"/>
      <c r="E82" s="10"/>
      <c r="F82" s="10"/>
      <c r="G82" s="9"/>
      <c r="H82" s="9"/>
      <c r="I82" s="47"/>
      <c r="J82" s="148"/>
      <c r="K82" s="62"/>
      <c r="L82" s="62"/>
      <c r="M82" s="63"/>
      <c r="N82" s="62"/>
      <c r="O82" s="62"/>
      <c r="P82" s="64"/>
      <c r="Q82" s="65"/>
      <c r="R82" s="66"/>
      <c r="S82" s="144"/>
      <c r="T82" s="11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14"/>
      <c r="AG82" s="1"/>
    </row>
    <row r="83" spans="1:33" ht="13.2">
      <c r="A83" s="1"/>
      <c r="B83" s="8"/>
      <c r="C83" s="9"/>
      <c r="D83" s="10"/>
      <c r="E83" s="10"/>
      <c r="F83" s="10"/>
      <c r="G83" s="9"/>
      <c r="H83" s="9"/>
      <c r="I83" s="47"/>
      <c r="J83" s="149"/>
      <c r="K83" s="67"/>
      <c r="L83" s="67"/>
      <c r="M83" s="68"/>
      <c r="N83" s="67"/>
      <c r="O83" s="67"/>
      <c r="P83" s="69"/>
      <c r="Q83" s="70"/>
      <c r="R83" s="71"/>
      <c r="S83" s="145"/>
      <c r="T83" s="11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14"/>
      <c r="AG83" s="1"/>
    </row>
    <row r="84" spans="1:33" ht="13.2">
      <c r="A84" s="1"/>
      <c r="B84" s="8"/>
      <c r="C84" s="9"/>
      <c r="D84" s="10"/>
      <c r="E84" s="10"/>
      <c r="F84" s="10"/>
      <c r="G84" s="9"/>
      <c r="H84" s="9"/>
      <c r="I84" s="47"/>
      <c r="J84" s="148"/>
      <c r="K84" s="62"/>
      <c r="L84" s="62"/>
      <c r="M84" s="63"/>
      <c r="N84" s="62"/>
      <c r="O84" s="62"/>
      <c r="P84" s="64"/>
      <c r="Q84" s="65"/>
      <c r="R84" s="66"/>
      <c r="S84" s="144"/>
      <c r="T84" s="11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14"/>
      <c r="AG84" s="1"/>
    </row>
    <row r="85" spans="1:33" ht="13.2">
      <c r="A85" s="1"/>
      <c r="B85" s="8"/>
      <c r="C85" s="9"/>
      <c r="D85" s="10"/>
      <c r="E85" s="10"/>
      <c r="F85" s="10"/>
      <c r="G85" s="9"/>
      <c r="H85" s="9"/>
      <c r="I85" s="47"/>
      <c r="J85" s="149"/>
      <c r="K85" s="67"/>
      <c r="L85" s="67"/>
      <c r="M85" s="68"/>
      <c r="N85" s="67"/>
      <c r="O85" s="67"/>
      <c r="P85" s="69"/>
      <c r="Q85" s="70"/>
      <c r="R85" s="71"/>
      <c r="S85" s="145"/>
      <c r="T85" s="11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14"/>
      <c r="AG85" s="1"/>
    </row>
    <row r="86" spans="1:33" ht="13.2">
      <c r="A86" s="1"/>
      <c r="B86" s="8"/>
      <c r="C86" s="9"/>
      <c r="D86" s="10"/>
      <c r="E86" s="10"/>
      <c r="F86" s="10"/>
      <c r="G86" s="9"/>
      <c r="H86" s="9"/>
      <c r="I86" s="47"/>
      <c r="J86" s="148"/>
      <c r="K86" s="62"/>
      <c r="L86" s="62"/>
      <c r="M86" s="63"/>
      <c r="N86" s="62"/>
      <c r="O86" s="62"/>
      <c r="P86" s="64"/>
      <c r="Q86" s="65"/>
      <c r="R86" s="66"/>
      <c r="S86" s="144"/>
      <c r="T86" s="11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14"/>
      <c r="AG86" s="1"/>
    </row>
    <row r="87" spans="1:33" ht="13.2">
      <c r="A87" s="1"/>
      <c r="B87" s="8"/>
      <c r="C87" s="9"/>
      <c r="D87" s="10"/>
      <c r="E87" s="10"/>
      <c r="F87" s="10"/>
      <c r="G87" s="9"/>
      <c r="H87" s="9"/>
      <c r="I87" s="47"/>
      <c r="J87" s="149"/>
      <c r="K87" s="67"/>
      <c r="L87" s="67"/>
      <c r="M87" s="68"/>
      <c r="N87" s="67"/>
      <c r="O87" s="67"/>
      <c r="P87" s="69"/>
      <c r="Q87" s="70"/>
      <c r="R87" s="71"/>
      <c r="S87" s="145"/>
      <c r="T87" s="11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14"/>
      <c r="AG87" s="1"/>
    </row>
    <row r="88" spans="1:33" ht="13.2">
      <c r="A88" s="1"/>
      <c r="B88" s="8"/>
      <c r="C88" s="9"/>
      <c r="D88" s="10"/>
      <c r="E88" s="10"/>
      <c r="F88" s="10"/>
      <c r="G88" s="9"/>
      <c r="H88" s="9"/>
      <c r="I88" s="47"/>
      <c r="J88" s="148"/>
      <c r="K88" s="62"/>
      <c r="L88" s="62"/>
      <c r="M88" s="63"/>
      <c r="N88" s="62"/>
      <c r="O88" s="62"/>
      <c r="P88" s="64"/>
      <c r="Q88" s="65"/>
      <c r="R88" s="66"/>
      <c r="S88" s="144"/>
      <c r="T88" s="11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14"/>
      <c r="AG88" s="1"/>
    </row>
    <row r="89" spans="1:33" ht="13.2">
      <c r="A89" s="1"/>
      <c r="B89" s="8"/>
      <c r="C89" s="9"/>
      <c r="D89" s="10"/>
      <c r="E89" s="10"/>
      <c r="F89" s="10"/>
      <c r="G89" s="9"/>
      <c r="H89" s="9"/>
      <c r="I89" s="47"/>
      <c r="J89" s="149"/>
      <c r="K89" s="67"/>
      <c r="L89" s="67"/>
      <c r="M89" s="68"/>
      <c r="N89" s="67"/>
      <c r="O89" s="67"/>
      <c r="P89" s="69"/>
      <c r="Q89" s="70"/>
      <c r="R89" s="71"/>
      <c r="S89" s="145"/>
      <c r="T89" s="11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14"/>
      <c r="AG89" s="1"/>
    </row>
    <row r="90" spans="1:33" ht="13.2">
      <c r="A90" s="1"/>
      <c r="B90" s="8"/>
      <c r="C90" s="9"/>
      <c r="D90" s="10"/>
      <c r="E90" s="10"/>
      <c r="F90" s="10"/>
      <c r="G90" s="9"/>
      <c r="H90" s="9"/>
      <c r="I90" s="47"/>
      <c r="J90" s="148"/>
      <c r="K90" s="62"/>
      <c r="L90" s="62"/>
      <c r="M90" s="63"/>
      <c r="N90" s="62"/>
      <c r="O90" s="62"/>
      <c r="P90" s="64"/>
      <c r="Q90" s="65"/>
      <c r="R90" s="66"/>
      <c r="S90" s="144"/>
      <c r="T90" s="11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14"/>
      <c r="AG90" s="1"/>
    </row>
    <row r="91" spans="1:33" ht="13.2">
      <c r="A91" s="1"/>
      <c r="B91" s="8"/>
      <c r="C91" s="9"/>
      <c r="D91" s="10"/>
      <c r="E91" s="10"/>
      <c r="F91" s="10"/>
      <c r="G91" s="9"/>
      <c r="H91" s="9"/>
      <c r="I91" s="47"/>
      <c r="J91" s="149"/>
      <c r="K91" s="67"/>
      <c r="L91" s="67"/>
      <c r="M91" s="68"/>
      <c r="N91" s="67"/>
      <c r="O91" s="67"/>
      <c r="P91" s="69"/>
      <c r="Q91" s="70"/>
      <c r="R91" s="71"/>
      <c r="S91" s="145"/>
      <c r="T91" s="11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14"/>
      <c r="AG91" s="1"/>
    </row>
    <row r="92" spans="1:33" ht="13.2">
      <c r="A92" s="1"/>
      <c r="B92" s="8"/>
      <c r="C92" s="9"/>
      <c r="D92" s="10"/>
      <c r="E92" s="10"/>
      <c r="F92" s="10"/>
      <c r="G92" s="9"/>
      <c r="H92" s="9"/>
      <c r="I92" s="47"/>
      <c r="J92" s="148"/>
      <c r="K92" s="62"/>
      <c r="L92" s="62"/>
      <c r="M92" s="63"/>
      <c r="N92" s="62"/>
      <c r="O92" s="62"/>
      <c r="P92" s="64"/>
      <c r="Q92" s="65"/>
      <c r="R92" s="66"/>
      <c r="S92" s="144"/>
      <c r="T92" s="11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14"/>
      <c r="AG92" s="1"/>
    </row>
    <row r="93" spans="1:33" ht="13.2">
      <c r="A93" s="1"/>
      <c r="B93" s="8"/>
      <c r="C93" s="9"/>
      <c r="D93" s="10"/>
      <c r="E93" s="10"/>
      <c r="F93" s="10"/>
      <c r="G93" s="9"/>
      <c r="H93" s="9"/>
      <c r="I93" s="47"/>
      <c r="J93" s="149"/>
      <c r="K93" s="67"/>
      <c r="L93" s="67"/>
      <c r="M93" s="68"/>
      <c r="N93" s="67"/>
      <c r="O93" s="67"/>
      <c r="P93" s="69"/>
      <c r="Q93" s="70"/>
      <c r="R93" s="71"/>
      <c r="S93" s="145"/>
      <c r="T93" s="11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14"/>
      <c r="AG93" s="1"/>
    </row>
    <row r="94" spans="1:33" ht="13.2">
      <c r="A94" s="1"/>
      <c r="B94" s="8"/>
      <c r="C94" s="9"/>
      <c r="D94" s="10"/>
      <c r="E94" s="10"/>
      <c r="F94" s="10"/>
      <c r="G94" s="9"/>
      <c r="H94" s="9"/>
      <c r="I94" s="47"/>
      <c r="J94" s="148"/>
      <c r="K94" s="62"/>
      <c r="L94" s="62"/>
      <c r="M94" s="63"/>
      <c r="N94" s="62"/>
      <c r="O94" s="62"/>
      <c r="P94" s="64"/>
      <c r="Q94" s="65"/>
      <c r="R94" s="66"/>
      <c r="S94" s="144"/>
      <c r="T94" s="11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14"/>
      <c r="AG94" s="1"/>
    </row>
    <row r="95" spans="1:33" ht="13.2">
      <c r="A95" s="1"/>
      <c r="B95" s="8"/>
      <c r="C95" s="9"/>
      <c r="D95" s="10"/>
      <c r="E95" s="10"/>
      <c r="F95" s="10"/>
      <c r="G95" s="9"/>
      <c r="H95" s="9"/>
      <c r="I95" s="47"/>
      <c r="J95" s="149"/>
      <c r="K95" s="67"/>
      <c r="L95" s="67"/>
      <c r="M95" s="68"/>
      <c r="N95" s="67"/>
      <c r="O95" s="67"/>
      <c r="P95" s="69"/>
      <c r="Q95" s="70"/>
      <c r="R95" s="71"/>
      <c r="S95" s="145"/>
      <c r="T95" s="11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14"/>
      <c r="AG95" s="1"/>
    </row>
    <row r="96" spans="1:33" ht="13.2">
      <c r="A96" s="1"/>
      <c r="B96" s="8"/>
      <c r="C96" s="9"/>
      <c r="D96" s="10"/>
      <c r="E96" s="10"/>
      <c r="F96" s="10"/>
      <c r="G96" s="9"/>
      <c r="H96" s="9"/>
      <c r="I96" s="47"/>
      <c r="J96" s="148"/>
      <c r="K96" s="62"/>
      <c r="L96" s="62"/>
      <c r="M96" s="63"/>
      <c r="N96" s="62"/>
      <c r="O96" s="62"/>
      <c r="P96" s="64"/>
      <c r="Q96" s="65"/>
      <c r="R96" s="66"/>
      <c r="S96" s="144"/>
      <c r="T96" s="11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14"/>
      <c r="AG96" s="1"/>
    </row>
    <row r="97" spans="1:33" ht="13.2">
      <c r="A97" s="1"/>
      <c r="B97" s="8"/>
      <c r="C97" s="9"/>
      <c r="D97" s="10"/>
      <c r="E97" s="10"/>
      <c r="F97" s="10"/>
      <c r="G97" s="9"/>
      <c r="H97" s="9"/>
      <c r="I97" s="47"/>
      <c r="J97" s="149"/>
      <c r="K97" s="67"/>
      <c r="L97" s="67"/>
      <c r="M97" s="68"/>
      <c r="N97" s="67"/>
      <c r="O97" s="67"/>
      <c r="P97" s="69"/>
      <c r="Q97" s="70"/>
      <c r="R97" s="71"/>
      <c r="S97" s="145"/>
      <c r="T97" s="11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14"/>
      <c r="AG97" s="1"/>
    </row>
    <row r="98" spans="1:33" ht="13.2">
      <c r="A98" s="1"/>
      <c r="B98" s="8"/>
      <c r="C98" s="9"/>
      <c r="D98" s="10"/>
      <c r="E98" s="10"/>
      <c r="F98" s="10"/>
      <c r="G98" s="9"/>
      <c r="H98" s="9"/>
      <c r="I98" s="47"/>
      <c r="J98" s="148"/>
      <c r="K98" s="62"/>
      <c r="L98" s="62"/>
      <c r="M98" s="63"/>
      <c r="N98" s="62"/>
      <c r="O98" s="62"/>
      <c r="P98" s="64"/>
      <c r="Q98" s="65"/>
      <c r="R98" s="66"/>
      <c r="S98" s="144"/>
      <c r="T98" s="11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14"/>
      <c r="AG98" s="1"/>
    </row>
    <row r="99" spans="1:33" ht="13.2">
      <c r="A99" s="1"/>
      <c r="B99" s="8"/>
      <c r="C99" s="9"/>
      <c r="D99" s="10"/>
      <c r="E99" s="10"/>
      <c r="F99" s="10"/>
      <c r="G99" s="9"/>
      <c r="H99" s="9"/>
      <c r="I99" s="47"/>
      <c r="J99" s="149"/>
      <c r="K99" s="67"/>
      <c r="L99" s="67"/>
      <c r="M99" s="68"/>
      <c r="N99" s="67"/>
      <c r="O99" s="67"/>
      <c r="P99" s="69"/>
      <c r="Q99" s="70"/>
      <c r="R99" s="71"/>
      <c r="S99" s="145"/>
      <c r="T99" s="11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14"/>
      <c r="AG99" s="1"/>
    </row>
    <row r="100" spans="1:33" ht="13.2">
      <c r="A100" s="1"/>
      <c r="B100" s="8"/>
      <c r="C100" s="9"/>
      <c r="D100" s="10"/>
      <c r="E100" s="10"/>
      <c r="F100" s="10"/>
      <c r="G100" s="9"/>
      <c r="H100" s="9"/>
      <c r="I100" s="47"/>
      <c r="J100" s="148"/>
      <c r="K100" s="62"/>
      <c r="L100" s="62"/>
      <c r="M100" s="63"/>
      <c r="N100" s="62"/>
      <c r="O100" s="62"/>
      <c r="P100" s="64"/>
      <c r="Q100" s="65"/>
      <c r="R100" s="66"/>
      <c r="S100" s="144"/>
      <c r="T100" s="11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14"/>
      <c r="AG100" s="1"/>
    </row>
    <row r="101" spans="1:33" ht="13.2">
      <c r="A101" s="1"/>
      <c r="B101" s="8"/>
      <c r="C101" s="9"/>
      <c r="D101" s="10"/>
      <c r="E101" s="10"/>
      <c r="F101" s="10"/>
      <c r="G101" s="9"/>
      <c r="H101" s="9"/>
      <c r="I101" s="47"/>
      <c r="J101" s="149"/>
      <c r="K101" s="67"/>
      <c r="L101" s="67"/>
      <c r="M101" s="68"/>
      <c r="N101" s="67"/>
      <c r="O101" s="67"/>
      <c r="P101" s="69"/>
      <c r="Q101" s="70"/>
      <c r="R101" s="71"/>
      <c r="S101" s="145"/>
      <c r="T101" s="11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14"/>
      <c r="AG101" s="1"/>
    </row>
    <row r="102" spans="1:33" ht="13.2">
      <c r="A102" s="1"/>
      <c r="B102" s="8"/>
      <c r="C102" s="9"/>
      <c r="D102" s="10"/>
      <c r="E102" s="10"/>
      <c r="F102" s="10"/>
      <c r="G102" s="9"/>
      <c r="H102" s="9"/>
      <c r="I102" s="47"/>
      <c r="J102" s="148"/>
      <c r="K102" s="62"/>
      <c r="L102" s="62"/>
      <c r="M102" s="63"/>
      <c r="N102" s="62"/>
      <c r="O102" s="62"/>
      <c r="P102" s="64"/>
      <c r="Q102" s="65"/>
      <c r="R102" s="66"/>
      <c r="S102" s="144"/>
      <c r="T102" s="11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14"/>
      <c r="AG102" s="1"/>
    </row>
    <row r="103" spans="1:33" ht="13.2">
      <c r="A103" s="1"/>
      <c r="B103" s="8"/>
      <c r="C103" s="9"/>
      <c r="D103" s="10"/>
      <c r="E103" s="10"/>
      <c r="F103" s="10"/>
      <c r="G103" s="9"/>
      <c r="H103" s="9"/>
      <c r="I103" s="47"/>
      <c r="J103" s="149"/>
      <c r="K103" s="67"/>
      <c r="L103" s="67"/>
      <c r="M103" s="68"/>
      <c r="N103" s="67"/>
      <c r="O103" s="67"/>
      <c r="P103" s="69"/>
      <c r="Q103" s="70"/>
      <c r="R103" s="71"/>
      <c r="S103" s="145"/>
      <c r="T103" s="11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14"/>
      <c r="AG103" s="1"/>
    </row>
    <row r="104" spans="1:33" ht="13.2">
      <c r="A104" s="1"/>
      <c r="B104" s="8"/>
      <c r="C104" s="9"/>
      <c r="D104" s="10"/>
      <c r="E104" s="10"/>
      <c r="F104" s="10"/>
      <c r="G104" s="9"/>
      <c r="H104" s="9"/>
      <c r="I104" s="47"/>
      <c r="J104" s="148"/>
      <c r="K104" s="62"/>
      <c r="L104" s="62"/>
      <c r="M104" s="63"/>
      <c r="N104" s="62"/>
      <c r="O104" s="62"/>
      <c r="P104" s="64"/>
      <c r="Q104" s="65"/>
      <c r="R104" s="66"/>
      <c r="S104" s="144"/>
      <c r="T104" s="11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14"/>
      <c r="AG104" s="1"/>
    </row>
    <row r="105" spans="1:33" ht="13.2">
      <c r="A105" s="1"/>
      <c r="B105" s="8"/>
      <c r="C105" s="9"/>
      <c r="D105" s="10"/>
      <c r="E105" s="10"/>
      <c r="F105" s="10"/>
      <c r="G105" s="9"/>
      <c r="H105" s="9"/>
      <c r="I105" s="47"/>
      <c r="J105" s="149"/>
      <c r="K105" s="67"/>
      <c r="L105" s="67"/>
      <c r="M105" s="68"/>
      <c r="N105" s="67"/>
      <c r="O105" s="67"/>
      <c r="P105" s="69"/>
      <c r="Q105" s="70"/>
      <c r="R105" s="71"/>
      <c r="S105" s="145"/>
      <c r="T105" s="11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14"/>
      <c r="AG105" s="1"/>
    </row>
    <row r="106" spans="1:33" ht="13.2">
      <c r="A106" s="1"/>
      <c r="B106" s="8"/>
      <c r="C106" s="9"/>
      <c r="D106" s="10"/>
      <c r="E106" s="10"/>
      <c r="F106" s="10"/>
      <c r="G106" s="9"/>
      <c r="H106" s="9"/>
      <c r="I106" s="47"/>
      <c r="J106" s="148"/>
      <c r="K106" s="62"/>
      <c r="L106" s="62"/>
      <c r="M106" s="63"/>
      <c r="N106" s="62"/>
      <c r="O106" s="62"/>
      <c r="P106" s="64"/>
      <c r="Q106" s="65"/>
      <c r="R106" s="66"/>
      <c r="S106" s="144"/>
      <c r="T106" s="11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14"/>
      <c r="AG106" s="1"/>
    </row>
    <row r="107" spans="1:33" ht="13.2">
      <c r="A107" s="1"/>
      <c r="B107" s="8"/>
      <c r="C107" s="9"/>
      <c r="D107" s="10"/>
      <c r="E107" s="10"/>
      <c r="F107" s="10"/>
      <c r="G107" s="9"/>
      <c r="H107" s="9"/>
      <c r="I107" s="47"/>
      <c r="J107" s="149"/>
      <c r="K107" s="67"/>
      <c r="L107" s="67"/>
      <c r="M107" s="68"/>
      <c r="N107" s="67"/>
      <c r="O107" s="67"/>
      <c r="P107" s="69"/>
      <c r="Q107" s="70"/>
      <c r="R107" s="71"/>
      <c r="S107" s="145"/>
      <c r="T107" s="11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14"/>
      <c r="AG107" s="1"/>
    </row>
    <row r="108" spans="1:33" ht="13.2">
      <c r="A108" s="1"/>
      <c r="B108" s="8"/>
      <c r="C108" s="9"/>
      <c r="D108" s="10"/>
      <c r="E108" s="10"/>
      <c r="F108" s="10"/>
      <c r="G108" s="9"/>
      <c r="H108" s="9"/>
      <c r="I108" s="47"/>
      <c r="J108" s="148"/>
      <c r="K108" s="62"/>
      <c r="L108" s="62"/>
      <c r="M108" s="63"/>
      <c r="N108" s="62"/>
      <c r="O108" s="62"/>
      <c r="P108" s="64"/>
      <c r="Q108" s="65"/>
      <c r="R108" s="66"/>
      <c r="S108" s="144"/>
      <c r="T108" s="11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14"/>
      <c r="AG108" s="1"/>
    </row>
    <row r="109" spans="1:33" ht="13.2">
      <c r="A109" s="1"/>
      <c r="B109" s="8"/>
      <c r="C109" s="9"/>
      <c r="D109" s="10"/>
      <c r="E109" s="10"/>
      <c r="F109" s="10"/>
      <c r="G109" s="9"/>
      <c r="H109" s="9"/>
      <c r="I109" s="47"/>
      <c r="J109" s="149"/>
      <c r="K109" s="67"/>
      <c r="L109" s="67"/>
      <c r="M109" s="68"/>
      <c r="N109" s="67"/>
      <c r="O109" s="67"/>
      <c r="P109" s="69"/>
      <c r="Q109" s="70"/>
      <c r="R109" s="71"/>
      <c r="S109" s="145"/>
      <c r="T109" s="11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14"/>
      <c r="AG109" s="1"/>
    </row>
    <row r="110" spans="1:33" ht="13.2">
      <c r="A110" s="1"/>
      <c r="B110" s="8"/>
      <c r="C110" s="9"/>
      <c r="D110" s="10"/>
      <c r="E110" s="10"/>
      <c r="F110" s="10"/>
      <c r="G110" s="9"/>
      <c r="H110" s="9"/>
      <c r="I110" s="47"/>
      <c r="J110" s="148"/>
      <c r="K110" s="62"/>
      <c r="L110" s="62"/>
      <c r="M110" s="63"/>
      <c r="N110" s="62"/>
      <c r="O110" s="62"/>
      <c r="P110" s="64"/>
      <c r="Q110" s="65"/>
      <c r="R110" s="66"/>
      <c r="S110" s="144"/>
      <c r="T110" s="11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14"/>
      <c r="AG110" s="1"/>
    </row>
    <row r="111" spans="1:33" ht="13.2">
      <c r="A111" s="1"/>
      <c r="B111" s="8"/>
      <c r="C111" s="9"/>
      <c r="D111" s="10"/>
      <c r="E111" s="10"/>
      <c r="F111" s="10"/>
      <c r="G111" s="9"/>
      <c r="H111" s="9"/>
      <c r="I111" s="47"/>
      <c r="J111" s="149"/>
      <c r="K111" s="67"/>
      <c r="L111" s="67"/>
      <c r="M111" s="68"/>
      <c r="N111" s="67"/>
      <c r="O111" s="67"/>
      <c r="P111" s="69"/>
      <c r="Q111" s="70"/>
      <c r="R111" s="71"/>
      <c r="S111" s="145"/>
      <c r="T111" s="11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14"/>
      <c r="AG111" s="1"/>
    </row>
    <row r="112" spans="1:33" ht="13.2">
      <c r="A112" s="1"/>
      <c r="B112" s="8"/>
      <c r="C112" s="9"/>
      <c r="D112" s="10"/>
      <c r="E112" s="10"/>
      <c r="F112" s="10"/>
      <c r="G112" s="9"/>
      <c r="H112" s="9"/>
      <c r="I112" s="47"/>
      <c r="J112" s="148"/>
      <c r="K112" s="62"/>
      <c r="L112" s="62"/>
      <c r="M112" s="63"/>
      <c r="N112" s="62"/>
      <c r="O112" s="62"/>
      <c r="P112" s="64"/>
      <c r="Q112" s="65"/>
      <c r="R112" s="66"/>
      <c r="S112" s="144"/>
      <c r="T112" s="11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14"/>
      <c r="AG112" s="1"/>
    </row>
    <row r="113" spans="1:33" ht="13.2">
      <c r="A113" s="1"/>
      <c r="B113" s="8"/>
      <c r="C113" s="9"/>
      <c r="D113" s="10"/>
      <c r="E113" s="10"/>
      <c r="F113" s="10"/>
      <c r="G113" s="9"/>
      <c r="H113" s="9"/>
      <c r="I113" s="47"/>
      <c r="J113" s="149"/>
      <c r="K113" s="67"/>
      <c r="L113" s="67"/>
      <c r="M113" s="68"/>
      <c r="N113" s="67"/>
      <c r="O113" s="67"/>
      <c r="P113" s="69"/>
      <c r="Q113" s="70"/>
      <c r="R113" s="71"/>
      <c r="S113" s="145"/>
      <c r="T113" s="11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14"/>
      <c r="AG113" s="1"/>
    </row>
    <row r="114" spans="1:33" ht="13.2">
      <c r="A114" s="1"/>
      <c r="B114" s="8"/>
      <c r="C114" s="9"/>
      <c r="D114" s="10"/>
      <c r="E114" s="10"/>
      <c r="F114" s="10"/>
      <c r="G114" s="9"/>
      <c r="H114" s="9"/>
      <c r="I114" s="47"/>
      <c r="J114" s="148"/>
      <c r="K114" s="62"/>
      <c r="L114" s="62"/>
      <c r="M114" s="63"/>
      <c r="N114" s="62"/>
      <c r="O114" s="62"/>
      <c r="P114" s="64"/>
      <c r="Q114" s="65"/>
      <c r="R114" s="66"/>
      <c r="S114" s="144"/>
      <c r="T114" s="11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14"/>
      <c r="AG114" s="1"/>
    </row>
    <row r="115" spans="1:33" ht="13.2">
      <c r="A115" s="1"/>
      <c r="B115" s="8"/>
      <c r="C115" s="9"/>
      <c r="D115" s="10"/>
      <c r="E115" s="10"/>
      <c r="F115" s="10"/>
      <c r="G115" s="9"/>
      <c r="H115" s="9"/>
      <c r="I115" s="47"/>
      <c r="J115" s="149"/>
      <c r="K115" s="67"/>
      <c r="L115" s="67"/>
      <c r="M115" s="68"/>
      <c r="N115" s="67"/>
      <c r="O115" s="67"/>
      <c r="P115" s="69"/>
      <c r="Q115" s="70"/>
      <c r="R115" s="71"/>
      <c r="S115" s="145"/>
      <c r="T115" s="11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14"/>
      <c r="AG115" s="1"/>
    </row>
    <row r="116" spans="1:33" ht="13.2">
      <c r="A116" s="1"/>
      <c r="B116" s="8"/>
      <c r="C116" s="9"/>
      <c r="D116" s="10"/>
      <c r="E116" s="10"/>
      <c r="F116" s="10"/>
      <c r="G116" s="9"/>
      <c r="H116" s="9"/>
      <c r="I116" s="47"/>
      <c r="J116" s="148"/>
      <c r="K116" s="62"/>
      <c r="L116" s="62"/>
      <c r="M116" s="63"/>
      <c r="N116" s="62"/>
      <c r="O116" s="62"/>
      <c r="P116" s="64"/>
      <c r="Q116" s="65"/>
      <c r="R116" s="66"/>
      <c r="S116" s="144"/>
      <c r="T116" s="11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14"/>
      <c r="AG116" s="1"/>
    </row>
    <row r="117" spans="1:33" ht="13.2">
      <c r="A117" s="1"/>
      <c r="B117" s="8"/>
      <c r="C117" s="9"/>
      <c r="D117" s="10"/>
      <c r="E117" s="10"/>
      <c r="F117" s="10"/>
      <c r="G117" s="9"/>
      <c r="H117" s="9"/>
      <c r="I117" s="47"/>
      <c r="J117" s="149"/>
      <c r="K117" s="67"/>
      <c r="L117" s="67"/>
      <c r="M117" s="68"/>
      <c r="N117" s="67"/>
      <c r="O117" s="67"/>
      <c r="P117" s="69"/>
      <c r="Q117" s="70"/>
      <c r="R117" s="71"/>
      <c r="S117" s="145"/>
      <c r="T117" s="11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14"/>
      <c r="AG117" s="1"/>
    </row>
    <row r="118" spans="1:33" ht="13.2">
      <c r="A118" s="1"/>
      <c r="B118" s="8"/>
      <c r="C118" s="9"/>
      <c r="D118" s="10"/>
      <c r="E118" s="10"/>
      <c r="F118" s="10"/>
      <c r="G118" s="9"/>
      <c r="H118" s="9"/>
      <c r="I118" s="47"/>
      <c r="J118" s="148"/>
      <c r="K118" s="62"/>
      <c r="L118" s="62"/>
      <c r="M118" s="63"/>
      <c r="N118" s="62"/>
      <c r="O118" s="62"/>
      <c r="P118" s="64"/>
      <c r="Q118" s="65"/>
      <c r="R118" s="66"/>
      <c r="S118" s="144"/>
      <c r="T118" s="11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14"/>
      <c r="AG118" s="1"/>
    </row>
    <row r="119" spans="1:33" ht="13.2">
      <c r="A119" s="1"/>
      <c r="B119" s="8"/>
      <c r="C119" s="9"/>
      <c r="D119" s="10"/>
      <c r="E119" s="10"/>
      <c r="F119" s="10"/>
      <c r="G119" s="9"/>
      <c r="H119" s="9"/>
      <c r="I119" s="47"/>
      <c r="J119" s="150"/>
      <c r="K119" s="81"/>
      <c r="L119" s="81"/>
      <c r="M119" s="82"/>
      <c r="N119" s="81"/>
      <c r="O119" s="81"/>
      <c r="P119" s="83"/>
      <c r="Q119" s="84"/>
      <c r="R119" s="85"/>
      <c r="S119" s="146"/>
      <c r="T119" s="11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14"/>
      <c r="AG119" s="1"/>
    </row>
    <row r="120" spans="1:33" ht="13.2">
      <c r="A120" s="1"/>
      <c r="B120" s="8"/>
      <c r="C120" s="9"/>
      <c r="D120" s="10"/>
      <c r="E120" s="10"/>
      <c r="F120" s="10"/>
      <c r="G120" s="9"/>
      <c r="H120" s="9"/>
      <c r="I120" s="72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74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14"/>
      <c r="AG120" s="1"/>
    </row>
    <row r="121" spans="1:33" ht="13.8" thickBot="1">
      <c r="A121" s="1"/>
      <c r="B121" s="87"/>
      <c r="C121" s="88"/>
      <c r="D121" s="89"/>
      <c r="E121" s="89"/>
      <c r="F121" s="89"/>
      <c r="G121" s="88"/>
      <c r="H121" s="88"/>
      <c r="I121" s="88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90"/>
      <c r="AG121" s="1"/>
    </row>
    <row r="122" spans="1:33" ht="13.2">
      <c r="A122" s="1"/>
      <c r="B122" s="1"/>
      <c r="C122" s="1"/>
      <c r="D122" s="2"/>
      <c r="E122" s="2"/>
      <c r="F122" s="2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</sheetData>
  <mergeCells count="59">
    <mergeCell ref="W43:AD44"/>
    <mergeCell ref="V45:AE62"/>
    <mergeCell ref="L15:M15"/>
    <mergeCell ref="Q7:R7"/>
    <mergeCell ref="Q8:R8"/>
    <mergeCell ref="Q9:R9"/>
    <mergeCell ref="Q10:R10"/>
    <mergeCell ref="Q11:R11"/>
    <mergeCell ref="W8:X8"/>
    <mergeCell ref="W9:X9"/>
    <mergeCell ref="W10:X10"/>
    <mergeCell ref="W11:X11"/>
    <mergeCell ref="W12:X12"/>
    <mergeCell ref="AC8:AD8"/>
    <mergeCell ref="AC9:AD9"/>
    <mergeCell ref="AC10:AD10"/>
    <mergeCell ref="Q3:T4"/>
    <mergeCell ref="W3:AD4"/>
    <mergeCell ref="Q5:R5"/>
    <mergeCell ref="Z5:AA5"/>
    <mergeCell ref="W7:X7"/>
    <mergeCell ref="AC7:AD7"/>
    <mergeCell ref="W5:X5"/>
    <mergeCell ref="W6:X6"/>
    <mergeCell ref="AC5:AD5"/>
    <mergeCell ref="AC6:AD6"/>
    <mergeCell ref="AC11:AD11"/>
    <mergeCell ref="AC12:AD12"/>
    <mergeCell ref="Z6:AA6"/>
    <mergeCell ref="Z7:AA7"/>
    <mergeCell ref="Z8:AA8"/>
    <mergeCell ref="Z9:AA9"/>
    <mergeCell ref="Z10:AA10"/>
    <mergeCell ref="Z11:AA11"/>
    <mergeCell ref="Z12:AA12"/>
    <mergeCell ref="D40:D41"/>
    <mergeCell ref="F40:F41"/>
    <mergeCell ref="D22:D23"/>
    <mergeCell ref="F22:F23"/>
    <mergeCell ref="D24:D25"/>
    <mergeCell ref="F24:F25"/>
    <mergeCell ref="D26:D27"/>
    <mergeCell ref="F26:F27"/>
    <mergeCell ref="D30:F32"/>
    <mergeCell ref="D34:D35"/>
    <mergeCell ref="F34:F35"/>
    <mergeCell ref="D36:D37"/>
    <mergeCell ref="F36:F37"/>
    <mergeCell ref="D38:D39"/>
    <mergeCell ref="F38:F39"/>
    <mergeCell ref="F18:F19"/>
    <mergeCell ref="F20:F21"/>
    <mergeCell ref="C3:G7"/>
    <mergeCell ref="D8:F8"/>
    <mergeCell ref="D9:F9"/>
    <mergeCell ref="D10:F13"/>
    <mergeCell ref="D14:F16"/>
    <mergeCell ref="D18:D19"/>
    <mergeCell ref="D20:D21"/>
  </mergeCells>
  <conditionalFormatting sqref="J19">
    <cfRule type="cellIs" dxfId="0" priority="1" operator="equal">
      <formula>"No data found for selected range"</formula>
    </cfRule>
  </conditionalFormatting>
  <printOptions horizontalCentered="1" gridLines="1"/>
  <pageMargins left="0.7" right="0.7" top="0.75" bottom="0.75" header="0" footer="0"/>
  <pageSetup fitToHeight="0" pageOrder="overThenDown" orientation="portrait" cellComments="atEnd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ErrorMessage="1">
          <x14:formula1>
            <xm:f>HELPER!$C$2:$C$19</xm:f>
          </x14:formula1>
          <xm:sqref>S15</xm:sqref>
        </x14:dataValidation>
        <x14:dataValidation type="list" allowBlank="1" showErrorMessage="1">
          <x14:formula1>
            <xm:f>HELPER!$A$2:$A$13</xm:f>
          </x14:formula1>
          <xm:sqref>O15 Q15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8"/>
  <sheetViews>
    <sheetView showGridLines="0" workbookViewId="0"/>
  </sheetViews>
  <sheetFormatPr defaultColWidth="12.5546875" defaultRowHeight="15.75" customHeight="1"/>
  <cols>
    <col min="1" max="1" width="2.88671875" customWidth="1"/>
    <col min="2" max="2" width="8.44140625" customWidth="1"/>
    <col min="3" max="11" width="19.44140625" customWidth="1"/>
    <col min="12" max="12" width="2.88671875" customWidth="1"/>
  </cols>
  <sheetData>
    <row r="1" spans="1:12" ht="13.2">
      <c r="A1" s="91"/>
      <c r="B1" s="92"/>
      <c r="C1" s="92"/>
      <c r="D1" s="92"/>
      <c r="E1" s="92"/>
      <c r="F1" s="92"/>
      <c r="G1" s="92"/>
      <c r="H1" s="92"/>
      <c r="I1" s="92"/>
      <c r="J1" s="92"/>
      <c r="K1" s="92"/>
      <c r="L1" s="91"/>
    </row>
    <row r="2" spans="1:12" ht="13.2">
      <c r="A2" s="91"/>
      <c r="B2" s="194" t="s">
        <v>32</v>
      </c>
      <c r="C2" s="163"/>
      <c r="D2" s="163"/>
      <c r="E2" s="163"/>
      <c r="F2" s="163"/>
      <c r="G2" s="163"/>
      <c r="H2" s="163"/>
      <c r="I2" s="163"/>
      <c r="J2" s="163"/>
      <c r="K2" s="195"/>
      <c r="L2" s="91"/>
    </row>
    <row r="3" spans="1:12" ht="13.2">
      <c r="A3" s="91"/>
      <c r="B3" s="181"/>
      <c r="C3" s="155"/>
      <c r="D3" s="155"/>
      <c r="E3" s="155"/>
      <c r="F3" s="155"/>
      <c r="G3" s="155"/>
      <c r="H3" s="155"/>
      <c r="I3" s="155"/>
      <c r="J3" s="155"/>
      <c r="K3" s="196"/>
      <c r="L3" s="91"/>
    </row>
    <row r="4" spans="1:12" ht="13.2">
      <c r="A4" s="91"/>
      <c r="B4" s="181"/>
      <c r="C4" s="155"/>
      <c r="D4" s="155"/>
      <c r="E4" s="155"/>
      <c r="F4" s="155"/>
      <c r="G4" s="155"/>
      <c r="H4" s="155"/>
      <c r="I4" s="155"/>
      <c r="J4" s="155"/>
      <c r="K4" s="196"/>
      <c r="L4" s="91"/>
    </row>
    <row r="5" spans="1:12" ht="6" customHeight="1">
      <c r="A5" s="91"/>
      <c r="B5" s="93"/>
      <c r="C5" s="94"/>
      <c r="D5" s="94"/>
      <c r="E5" s="94"/>
      <c r="F5" s="94"/>
      <c r="G5" s="94"/>
      <c r="H5" s="94"/>
      <c r="I5" s="94"/>
      <c r="J5" s="94"/>
      <c r="K5" s="95"/>
      <c r="L5" s="91"/>
    </row>
    <row r="6" spans="1:12" ht="21" customHeight="1">
      <c r="A6" s="96"/>
      <c r="B6" s="97" t="s">
        <v>18</v>
      </c>
      <c r="C6" s="98" t="s">
        <v>19</v>
      </c>
      <c r="D6" s="98" t="s">
        <v>3</v>
      </c>
      <c r="E6" s="98" t="s">
        <v>20</v>
      </c>
      <c r="F6" s="98" t="s">
        <v>21</v>
      </c>
      <c r="G6" s="98" t="s">
        <v>5</v>
      </c>
      <c r="H6" s="98" t="s">
        <v>22</v>
      </c>
      <c r="I6" s="98" t="s">
        <v>7</v>
      </c>
      <c r="J6" s="98" t="s">
        <v>23</v>
      </c>
      <c r="K6" s="99" t="s">
        <v>24</v>
      </c>
      <c r="L6" s="96"/>
    </row>
    <row r="7" spans="1:12" ht="13.2">
      <c r="A7" s="91"/>
      <c r="B7" s="100" t="s">
        <v>33</v>
      </c>
      <c r="C7" s="101" t="s">
        <v>34</v>
      </c>
      <c r="D7" s="101" t="s">
        <v>35</v>
      </c>
      <c r="E7" s="102">
        <v>150</v>
      </c>
      <c r="F7" s="101">
        <v>50</v>
      </c>
      <c r="G7" s="101" t="s">
        <v>36</v>
      </c>
      <c r="H7" s="103">
        <v>1.5</v>
      </c>
      <c r="I7" s="104">
        <v>225</v>
      </c>
      <c r="J7" s="105">
        <v>45280</v>
      </c>
      <c r="K7" s="106">
        <v>45296</v>
      </c>
      <c r="L7" s="91"/>
    </row>
    <row r="8" spans="1:12" ht="13.2">
      <c r="A8" s="91"/>
      <c r="B8" s="107" t="s">
        <v>37</v>
      </c>
      <c r="C8" s="108" t="s">
        <v>38</v>
      </c>
      <c r="D8" s="108" t="s">
        <v>39</v>
      </c>
      <c r="E8" s="109">
        <v>3</v>
      </c>
      <c r="F8" s="108">
        <v>20</v>
      </c>
      <c r="G8" s="108" t="s">
        <v>40</v>
      </c>
      <c r="H8" s="110">
        <v>3</v>
      </c>
      <c r="I8" s="104">
        <v>240</v>
      </c>
      <c r="J8" s="111">
        <v>45301</v>
      </c>
      <c r="K8" s="112">
        <v>45316</v>
      </c>
      <c r="L8" s="91"/>
    </row>
    <row r="9" spans="1:12" ht="13.2">
      <c r="A9" s="91"/>
      <c r="B9" s="107" t="s">
        <v>41</v>
      </c>
      <c r="C9" s="108" t="s">
        <v>42</v>
      </c>
      <c r="D9" s="108" t="s">
        <v>43</v>
      </c>
      <c r="E9" s="109">
        <v>40</v>
      </c>
      <c r="F9" s="108">
        <v>10</v>
      </c>
      <c r="G9" s="108" t="s">
        <v>44</v>
      </c>
      <c r="H9" s="110">
        <v>2.5</v>
      </c>
      <c r="I9" s="104">
        <v>100</v>
      </c>
      <c r="J9" s="111">
        <v>45275</v>
      </c>
      <c r="K9" s="112">
        <v>45290</v>
      </c>
      <c r="L9" s="91"/>
    </row>
    <row r="10" spans="1:12" ht="13.2">
      <c r="A10" s="91"/>
      <c r="B10" s="107" t="s">
        <v>45</v>
      </c>
      <c r="C10" s="108" t="s">
        <v>46</v>
      </c>
      <c r="D10" s="108" t="s">
        <v>47</v>
      </c>
      <c r="E10" s="109">
        <v>30</v>
      </c>
      <c r="F10" s="108">
        <v>15</v>
      </c>
      <c r="G10" s="108" t="s">
        <v>48</v>
      </c>
      <c r="H10" s="110">
        <v>5.5</v>
      </c>
      <c r="I10" s="104">
        <v>165</v>
      </c>
      <c r="J10" s="111">
        <v>45296</v>
      </c>
      <c r="K10" s="112">
        <v>45311</v>
      </c>
      <c r="L10" s="91"/>
    </row>
    <row r="11" spans="1:12" ht="13.2">
      <c r="A11" s="91"/>
      <c r="B11" s="107" t="s">
        <v>49</v>
      </c>
      <c r="C11" s="101" t="s">
        <v>34</v>
      </c>
      <c r="D11" s="108" t="s">
        <v>50</v>
      </c>
      <c r="E11" s="109">
        <v>100</v>
      </c>
      <c r="F11" s="108">
        <v>30</v>
      </c>
      <c r="G11" s="108" t="s">
        <v>51</v>
      </c>
      <c r="H11" s="110">
        <v>1.2</v>
      </c>
      <c r="I11" s="104">
        <v>120</v>
      </c>
      <c r="J11" s="111">
        <v>45288</v>
      </c>
      <c r="K11" s="112">
        <v>45303</v>
      </c>
      <c r="L11" s="91"/>
    </row>
    <row r="12" spans="1:12" ht="13.2">
      <c r="A12" s="91"/>
      <c r="B12" s="107" t="s">
        <v>52</v>
      </c>
      <c r="C12" s="108" t="s">
        <v>38</v>
      </c>
      <c r="D12" s="108" t="s">
        <v>53</v>
      </c>
      <c r="E12" s="109">
        <v>5</v>
      </c>
      <c r="F12" s="108">
        <v>10</v>
      </c>
      <c r="G12" s="108" t="s">
        <v>54</v>
      </c>
      <c r="H12" s="110">
        <v>8</v>
      </c>
      <c r="I12" s="104">
        <v>160</v>
      </c>
      <c r="J12" s="111">
        <v>45306</v>
      </c>
      <c r="K12" s="112">
        <v>45321</v>
      </c>
      <c r="L12" s="91"/>
    </row>
    <row r="13" spans="1:12" ht="13.2">
      <c r="A13" s="91"/>
      <c r="B13" s="107" t="s">
        <v>55</v>
      </c>
      <c r="C13" s="108" t="s">
        <v>42</v>
      </c>
      <c r="D13" s="108" t="s">
        <v>56</v>
      </c>
      <c r="E13" s="109">
        <v>50</v>
      </c>
      <c r="F13" s="108">
        <v>15</v>
      </c>
      <c r="G13" s="108" t="s">
        <v>57</v>
      </c>
      <c r="H13" s="110">
        <v>2</v>
      </c>
      <c r="I13" s="104">
        <v>100</v>
      </c>
      <c r="J13" s="111">
        <v>45278</v>
      </c>
      <c r="K13" s="112">
        <v>45293</v>
      </c>
      <c r="L13" s="91"/>
    </row>
    <row r="14" spans="1:12" ht="13.2">
      <c r="A14" s="91"/>
      <c r="B14" s="107" t="s">
        <v>58</v>
      </c>
      <c r="C14" s="108" t="s">
        <v>46</v>
      </c>
      <c r="D14" s="108" t="s">
        <v>47</v>
      </c>
      <c r="E14" s="109">
        <v>60</v>
      </c>
      <c r="F14" s="108">
        <v>25</v>
      </c>
      <c r="G14" s="108" t="s">
        <v>59</v>
      </c>
      <c r="H14" s="110">
        <v>1.8</v>
      </c>
      <c r="I14" s="104">
        <v>108</v>
      </c>
      <c r="J14" s="111">
        <v>45282</v>
      </c>
      <c r="K14" s="112">
        <v>45297</v>
      </c>
      <c r="L14" s="91"/>
    </row>
    <row r="15" spans="1:12" ht="13.2">
      <c r="A15" s="91"/>
      <c r="B15" s="107" t="s">
        <v>60</v>
      </c>
      <c r="C15" s="101" t="s">
        <v>34</v>
      </c>
      <c r="D15" s="108" t="s">
        <v>50</v>
      </c>
      <c r="E15" s="109">
        <v>120</v>
      </c>
      <c r="F15" s="108">
        <v>40</v>
      </c>
      <c r="G15" s="108" t="s">
        <v>61</v>
      </c>
      <c r="H15" s="110">
        <v>0.25</v>
      </c>
      <c r="I15" s="104">
        <v>30</v>
      </c>
      <c r="J15" s="111">
        <v>45299</v>
      </c>
      <c r="K15" s="112">
        <v>45314</v>
      </c>
      <c r="L15" s="91"/>
    </row>
    <row r="16" spans="1:12" ht="13.2">
      <c r="A16" s="91"/>
      <c r="B16" s="107" t="s">
        <v>62</v>
      </c>
      <c r="C16" s="108" t="s">
        <v>38</v>
      </c>
      <c r="D16" s="108" t="s">
        <v>53</v>
      </c>
      <c r="E16" s="109">
        <v>40</v>
      </c>
      <c r="F16" s="108">
        <v>10</v>
      </c>
      <c r="G16" s="108" t="s">
        <v>63</v>
      </c>
      <c r="H16" s="110">
        <v>2.5</v>
      </c>
      <c r="I16" s="104">
        <v>100</v>
      </c>
      <c r="J16" s="111">
        <v>45285</v>
      </c>
      <c r="K16" s="112">
        <v>45300</v>
      </c>
      <c r="L16" s="91"/>
    </row>
    <row r="17" spans="1:12" ht="13.2">
      <c r="A17" s="91"/>
      <c r="B17" s="107" t="s">
        <v>64</v>
      </c>
      <c r="C17" s="108" t="s">
        <v>42</v>
      </c>
      <c r="D17" s="108" t="s">
        <v>56</v>
      </c>
      <c r="E17" s="109">
        <v>80</v>
      </c>
      <c r="F17" s="108">
        <v>20</v>
      </c>
      <c r="G17" s="108" t="s">
        <v>65</v>
      </c>
      <c r="H17" s="110">
        <v>1</v>
      </c>
      <c r="I17" s="104">
        <v>80</v>
      </c>
      <c r="J17" s="111">
        <v>45303</v>
      </c>
      <c r="K17" s="112">
        <v>45318</v>
      </c>
      <c r="L17" s="91"/>
    </row>
    <row r="18" spans="1:12" ht="13.2">
      <c r="A18" s="91"/>
      <c r="B18" s="107" t="s">
        <v>66</v>
      </c>
      <c r="C18" s="108" t="s">
        <v>46</v>
      </c>
      <c r="D18" s="108" t="s">
        <v>67</v>
      </c>
      <c r="E18" s="109">
        <v>30</v>
      </c>
      <c r="F18" s="108">
        <v>10</v>
      </c>
      <c r="G18" s="108" t="s">
        <v>68</v>
      </c>
      <c r="H18" s="110">
        <v>2.2000000000000002</v>
      </c>
      <c r="I18" s="104">
        <v>66</v>
      </c>
      <c r="J18" s="111">
        <v>45290</v>
      </c>
      <c r="K18" s="112">
        <v>45305</v>
      </c>
      <c r="L18" s="91"/>
    </row>
    <row r="19" spans="1:12" ht="13.2">
      <c r="A19" s="91"/>
      <c r="B19" s="107" t="s">
        <v>69</v>
      </c>
      <c r="C19" s="113" t="s">
        <v>34</v>
      </c>
      <c r="D19" s="108" t="s">
        <v>70</v>
      </c>
      <c r="E19" s="109">
        <v>25</v>
      </c>
      <c r="F19" s="108">
        <v>10</v>
      </c>
      <c r="G19" s="108" t="s">
        <v>71</v>
      </c>
      <c r="H19" s="110">
        <v>3.5</v>
      </c>
      <c r="I19" s="104">
        <v>87.5</v>
      </c>
      <c r="J19" s="111">
        <v>45294</v>
      </c>
      <c r="K19" s="112">
        <v>45309</v>
      </c>
      <c r="L19" s="91"/>
    </row>
    <row r="20" spans="1:12" ht="13.2">
      <c r="A20" s="91"/>
      <c r="B20" s="107" t="s">
        <v>72</v>
      </c>
      <c r="C20" s="114" t="s">
        <v>38</v>
      </c>
      <c r="D20" s="108" t="s">
        <v>53</v>
      </c>
      <c r="E20" s="109">
        <v>40</v>
      </c>
      <c r="F20" s="108">
        <v>15</v>
      </c>
      <c r="G20" s="108" t="s">
        <v>73</v>
      </c>
      <c r="H20" s="110">
        <v>7</v>
      </c>
      <c r="I20" s="104">
        <v>280</v>
      </c>
      <c r="J20" s="111">
        <v>45309</v>
      </c>
      <c r="K20" s="112">
        <v>45324</v>
      </c>
      <c r="L20" s="91"/>
    </row>
    <row r="21" spans="1:12" ht="13.2">
      <c r="A21" s="91"/>
      <c r="B21" s="107" t="s">
        <v>74</v>
      </c>
      <c r="C21" s="115" t="s">
        <v>42</v>
      </c>
      <c r="D21" s="108" t="s">
        <v>56</v>
      </c>
      <c r="E21" s="109">
        <v>15</v>
      </c>
      <c r="F21" s="108">
        <v>5</v>
      </c>
      <c r="G21" s="108" t="s">
        <v>75</v>
      </c>
      <c r="H21" s="110">
        <v>4</v>
      </c>
      <c r="I21" s="104">
        <v>60</v>
      </c>
      <c r="J21" s="111">
        <v>45313</v>
      </c>
      <c r="K21" s="112">
        <v>45328</v>
      </c>
      <c r="L21" s="91"/>
    </row>
    <row r="22" spans="1:12" ht="13.2">
      <c r="A22" s="91"/>
      <c r="B22" s="107" t="s">
        <v>76</v>
      </c>
      <c r="C22" s="114" t="s">
        <v>46</v>
      </c>
      <c r="D22" s="108" t="s">
        <v>47</v>
      </c>
      <c r="E22" s="109">
        <v>50</v>
      </c>
      <c r="F22" s="108">
        <v>15</v>
      </c>
      <c r="G22" s="108" t="s">
        <v>77</v>
      </c>
      <c r="H22" s="110">
        <v>2.2999999999999998</v>
      </c>
      <c r="I22" s="104">
        <v>115</v>
      </c>
      <c r="J22" s="111">
        <v>45319</v>
      </c>
      <c r="K22" s="112">
        <v>45334</v>
      </c>
      <c r="L22" s="91"/>
    </row>
    <row r="23" spans="1:12" ht="13.2">
      <c r="A23" s="91"/>
      <c r="B23" s="107" t="s">
        <v>78</v>
      </c>
      <c r="C23" s="113" t="s">
        <v>34</v>
      </c>
      <c r="D23" s="108" t="s">
        <v>70</v>
      </c>
      <c r="E23" s="109">
        <v>70</v>
      </c>
      <c r="F23" s="108">
        <v>25</v>
      </c>
      <c r="G23" s="108" t="s">
        <v>79</v>
      </c>
      <c r="H23" s="110">
        <v>0.5</v>
      </c>
      <c r="I23" s="104">
        <v>35</v>
      </c>
      <c r="J23" s="111">
        <v>45323</v>
      </c>
      <c r="K23" s="112">
        <v>45338</v>
      </c>
      <c r="L23" s="91"/>
    </row>
    <row r="24" spans="1:12" ht="13.2">
      <c r="A24" s="91"/>
      <c r="B24" s="107" t="s">
        <v>80</v>
      </c>
      <c r="C24" s="114" t="s">
        <v>38</v>
      </c>
      <c r="D24" s="108" t="s">
        <v>39</v>
      </c>
      <c r="E24" s="109">
        <v>7</v>
      </c>
      <c r="F24" s="108">
        <v>10</v>
      </c>
      <c r="G24" s="108" t="s">
        <v>81</v>
      </c>
      <c r="H24" s="110">
        <v>3.5</v>
      </c>
      <c r="I24" s="104">
        <v>87.5</v>
      </c>
      <c r="J24" s="111">
        <v>45327</v>
      </c>
      <c r="K24" s="112">
        <v>45342</v>
      </c>
      <c r="L24" s="91"/>
    </row>
    <row r="25" spans="1:12" ht="13.2">
      <c r="A25" s="91"/>
      <c r="B25" s="107" t="s">
        <v>82</v>
      </c>
      <c r="C25" s="115" t="s">
        <v>42</v>
      </c>
      <c r="D25" s="108" t="s">
        <v>56</v>
      </c>
      <c r="E25" s="109">
        <v>35</v>
      </c>
      <c r="F25" s="108">
        <v>10</v>
      </c>
      <c r="G25" s="108" t="s">
        <v>83</v>
      </c>
      <c r="H25" s="110">
        <v>4.5</v>
      </c>
      <c r="I25" s="104">
        <v>157.5</v>
      </c>
      <c r="J25" s="111">
        <v>45332</v>
      </c>
      <c r="K25" s="112">
        <v>45346</v>
      </c>
      <c r="L25" s="91"/>
    </row>
    <row r="26" spans="1:12" ht="13.2">
      <c r="A26" s="91"/>
      <c r="B26" s="107" t="s">
        <v>84</v>
      </c>
      <c r="C26" s="114" t="s">
        <v>46</v>
      </c>
      <c r="D26" s="108" t="s">
        <v>47</v>
      </c>
      <c r="E26" s="109">
        <v>60</v>
      </c>
      <c r="F26" s="108">
        <v>20</v>
      </c>
      <c r="G26" s="108" t="s">
        <v>63</v>
      </c>
      <c r="H26" s="110">
        <v>1.8</v>
      </c>
      <c r="I26" s="104">
        <v>108</v>
      </c>
      <c r="J26" s="111">
        <v>45337</v>
      </c>
      <c r="K26" s="112">
        <v>45350</v>
      </c>
      <c r="L26" s="91"/>
    </row>
    <row r="27" spans="1:12" ht="13.2">
      <c r="A27" s="91"/>
      <c r="B27" s="107"/>
      <c r="C27" s="108"/>
      <c r="D27" s="108"/>
      <c r="E27" s="108"/>
      <c r="F27" s="108"/>
      <c r="G27" s="108"/>
      <c r="H27" s="110"/>
      <c r="I27" s="104" t="str">
        <f t="shared" ref="I27:I107" si="0">IF(B27="","", H27*E27)</f>
        <v/>
      </c>
      <c r="J27" s="111"/>
      <c r="K27" s="112"/>
      <c r="L27" s="91"/>
    </row>
    <row r="28" spans="1:12" ht="13.2">
      <c r="A28" s="91"/>
      <c r="B28" s="107"/>
      <c r="C28" s="108"/>
      <c r="D28" s="108"/>
      <c r="E28" s="108"/>
      <c r="F28" s="108"/>
      <c r="G28" s="108"/>
      <c r="H28" s="110"/>
      <c r="I28" s="104" t="str">
        <f t="shared" si="0"/>
        <v/>
      </c>
      <c r="J28" s="111"/>
      <c r="K28" s="112"/>
      <c r="L28" s="91"/>
    </row>
    <row r="29" spans="1:12" ht="13.2">
      <c r="A29" s="91"/>
      <c r="B29" s="107"/>
      <c r="C29" s="108"/>
      <c r="D29" s="108"/>
      <c r="E29" s="108"/>
      <c r="F29" s="108"/>
      <c r="G29" s="108"/>
      <c r="H29" s="110"/>
      <c r="I29" s="104" t="str">
        <f t="shared" si="0"/>
        <v/>
      </c>
      <c r="J29" s="111"/>
      <c r="K29" s="112"/>
      <c r="L29" s="91"/>
    </row>
    <row r="30" spans="1:12" ht="13.2">
      <c r="A30" s="91"/>
      <c r="B30" s="107"/>
      <c r="C30" s="108"/>
      <c r="D30" s="108"/>
      <c r="E30" s="108"/>
      <c r="F30" s="108"/>
      <c r="G30" s="108"/>
      <c r="H30" s="110"/>
      <c r="I30" s="104" t="str">
        <f t="shared" si="0"/>
        <v/>
      </c>
      <c r="J30" s="111"/>
      <c r="K30" s="112"/>
      <c r="L30" s="91"/>
    </row>
    <row r="31" spans="1:12" ht="13.2">
      <c r="A31" s="91"/>
      <c r="B31" s="107"/>
      <c r="C31" s="108"/>
      <c r="D31" s="108"/>
      <c r="E31" s="108"/>
      <c r="F31" s="108"/>
      <c r="G31" s="108"/>
      <c r="H31" s="110"/>
      <c r="I31" s="104" t="str">
        <f t="shared" si="0"/>
        <v/>
      </c>
      <c r="J31" s="111"/>
      <c r="K31" s="112"/>
      <c r="L31" s="91"/>
    </row>
    <row r="32" spans="1:12" ht="13.2">
      <c r="A32" s="91"/>
      <c r="B32" s="107"/>
      <c r="C32" s="108"/>
      <c r="D32" s="108"/>
      <c r="E32" s="108"/>
      <c r="F32" s="108"/>
      <c r="G32" s="108"/>
      <c r="H32" s="110"/>
      <c r="I32" s="104" t="str">
        <f t="shared" si="0"/>
        <v/>
      </c>
      <c r="J32" s="111"/>
      <c r="K32" s="112"/>
      <c r="L32" s="91"/>
    </row>
    <row r="33" spans="1:12" ht="13.2">
      <c r="A33" s="91"/>
      <c r="B33" s="107"/>
      <c r="C33" s="108"/>
      <c r="D33" s="108"/>
      <c r="E33" s="108"/>
      <c r="F33" s="108"/>
      <c r="G33" s="108"/>
      <c r="H33" s="110"/>
      <c r="I33" s="104" t="str">
        <f t="shared" si="0"/>
        <v/>
      </c>
      <c r="J33" s="111"/>
      <c r="K33" s="112"/>
      <c r="L33" s="91"/>
    </row>
    <row r="34" spans="1:12" ht="13.2">
      <c r="A34" s="91"/>
      <c r="B34" s="107"/>
      <c r="C34" s="108"/>
      <c r="D34" s="108"/>
      <c r="E34" s="108"/>
      <c r="F34" s="108"/>
      <c r="G34" s="108"/>
      <c r="H34" s="110"/>
      <c r="I34" s="104" t="str">
        <f t="shared" si="0"/>
        <v/>
      </c>
      <c r="J34" s="111"/>
      <c r="K34" s="112"/>
      <c r="L34" s="91"/>
    </row>
    <row r="35" spans="1:12" ht="13.2">
      <c r="A35" s="91"/>
      <c r="B35" s="107"/>
      <c r="C35" s="108"/>
      <c r="D35" s="108"/>
      <c r="E35" s="108"/>
      <c r="F35" s="108"/>
      <c r="G35" s="108"/>
      <c r="H35" s="110"/>
      <c r="I35" s="104" t="str">
        <f t="shared" si="0"/>
        <v/>
      </c>
      <c r="J35" s="111"/>
      <c r="K35" s="112"/>
      <c r="L35" s="91"/>
    </row>
    <row r="36" spans="1:12" ht="13.2">
      <c r="A36" s="91"/>
      <c r="B36" s="107"/>
      <c r="C36" s="108"/>
      <c r="D36" s="108"/>
      <c r="E36" s="108"/>
      <c r="F36" s="108"/>
      <c r="G36" s="108"/>
      <c r="H36" s="110"/>
      <c r="I36" s="104" t="str">
        <f t="shared" si="0"/>
        <v/>
      </c>
      <c r="J36" s="111"/>
      <c r="K36" s="112"/>
      <c r="L36" s="91"/>
    </row>
    <row r="37" spans="1:12" ht="13.2">
      <c r="A37" s="91"/>
      <c r="B37" s="107"/>
      <c r="C37" s="108"/>
      <c r="D37" s="108"/>
      <c r="E37" s="108"/>
      <c r="F37" s="108"/>
      <c r="G37" s="108"/>
      <c r="H37" s="110"/>
      <c r="I37" s="104" t="str">
        <f t="shared" si="0"/>
        <v/>
      </c>
      <c r="J37" s="111"/>
      <c r="K37" s="112"/>
      <c r="L37" s="91"/>
    </row>
    <row r="38" spans="1:12" ht="13.2">
      <c r="A38" s="91"/>
      <c r="B38" s="107"/>
      <c r="C38" s="108"/>
      <c r="D38" s="108"/>
      <c r="E38" s="108"/>
      <c r="F38" s="108"/>
      <c r="G38" s="108"/>
      <c r="H38" s="110"/>
      <c r="I38" s="104" t="str">
        <f t="shared" si="0"/>
        <v/>
      </c>
      <c r="J38" s="111"/>
      <c r="K38" s="112"/>
      <c r="L38" s="91"/>
    </row>
    <row r="39" spans="1:12" ht="13.2">
      <c r="A39" s="91"/>
      <c r="B39" s="107"/>
      <c r="C39" s="108"/>
      <c r="D39" s="108"/>
      <c r="E39" s="108"/>
      <c r="F39" s="108"/>
      <c r="G39" s="108"/>
      <c r="H39" s="110"/>
      <c r="I39" s="104" t="str">
        <f t="shared" si="0"/>
        <v/>
      </c>
      <c r="J39" s="111"/>
      <c r="K39" s="112"/>
      <c r="L39" s="91"/>
    </row>
    <row r="40" spans="1:12" ht="13.2">
      <c r="A40" s="91"/>
      <c r="B40" s="107"/>
      <c r="C40" s="108"/>
      <c r="D40" s="108"/>
      <c r="E40" s="108"/>
      <c r="F40" s="108"/>
      <c r="G40" s="108"/>
      <c r="H40" s="110"/>
      <c r="I40" s="104" t="str">
        <f t="shared" si="0"/>
        <v/>
      </c>
      <c r="J40" s="111"/>
      <c r="K40" s="112"/>
      <c r="L40" s="91"/>
    </row>
    <row r="41" spans="1:12" ht="13.2">
      <c r="A41" s="91"/>
      <c r="B41" s="107"/>
      <c r="C41" s="108"/>
      <c r="D41" s="108"/>
      <c r="E41" s="108"/>
      <c r="F41" s="108"/>
      <c r="G41" s="108"/>
      <c r="H41" s="110"/>
      <c r="I41" s="104" t="str">
        <f t="shared" si="0"/>
        <v/>
      </c>
      <c r="J41" s="111"/>
      <c r="K41" s="112"/>
      <c r="L41" s="91"/>
    </row>
    <row r="42" spans="1:12" ht="13.2">
      <c r="A42" s="91"/>
      <c r="B42" s="107"/>
      <c r="C42" s="108"/>
      <c r="D42" s="108"/>
      <c r="E42" s="108"/>
      <c r="F42" s="108"/>
      <c r="G42" s="108"/>
      <c r="H42" s="110"/>
      <c r="I42" s="104" t="str">
        <f t="shared" si="0"/>
        <v/>
      </c>
      <c r="J42" s="111"/>
      <c r="K42" s="112"/>
      <c r="L42" s="91"/>
    </row>
    <row r="43" spans="1:12" ht="13.2">
      <c r="A43" s="91"/>
      <c r="B43" s="107"/>
      <c r="C43" s="108"/>
      <c r="D43" s="108"/>
      <c r="E43" s="108"/>
      <c r="F43" s="108"/>
      <c r="G43" s="108"/>
      <c r="H43" s="110"/>
      <c r="I43" s="104" t="str">
        <f t="shared" si="0"/>
        <v/>
      </c>
      <c r="J43" s="111"/>
      <c r="K43" s="112"/>
      <c r="L43" s="91"/>
    </row>
    <row r="44" spans="1:12" ht="13.2">
      <c r="A44" s="91"/>
      <c r="B44" s="107"/>
      <c r="C44" s="108"/>
      <c r="D44" s="108"/>
      <c r="E44" s="108"/>
      <c r="F44" s="108"/>
      <c r="G44" s="108"/>
      <c r="H44" s="110"/>
      <c r="I44" s="104" t="str">
        <f t="shared" si="0"/>
        <v/>
      </c>
      <c r="J44" s="111"/>
      <c r="K44" s="112"/>
      <c r="L44" s="91"/>
    </row>
    <row r="45" spans="1:12" ht="13.2">
      <c r="A45" s="91"/>
      <c r="B45" s="107"/>
      <c r="C45" s="108"/>
      <c r="D45" s="108"/>
      <c r="E45" s="108"/>
      <c r="F45" s="108"/>
      <c r="G45" s="108"/>
      <c r="H45" s="110"/>
      <c r="I45" s="104" t="str">
        <f t="shared" si="0"/>
        <v/>
      </c>
      <c r="J45" s="111"/>
      <c r="K45" s="112"/>
      <c r="L45" s="91"/>
    </row>
    <row r="46" spans="1:12" ht="13.2">
      <c r="A46" s="91"/>
      <c r="B46" s="107"/>
      <c r="C46" s="108"/>
      <c r="D46" s="108"/>
      <c r="E46" s="108"/>
      <c r="F46" s="108"/>
      <c r="G46" s="108"/>
      <c r="H46" s="110"/>
      <c r="I46" s="104" t="str">
        <f t="shared" si="0"/>
        <v/>
      </c>
      <c r="J46" s="111"/>
      <c r="K46" s="112"/>
      <c r="L46" s="91"/>
    </row>
    <row r="47" spans="1:12" ht="13.2">
      <c r="A47" s="91"/>
      <c r="B47" s="107"/>
      <c r="C47" s="108"/>
      <c r="D47" s="108"/>
      <c r="E47" s="108"/>
      <c r="F47" s="108"/>
      <c r="G47" s="108"/>
      <c r="H47" s="110"/>
      <c r="I47" s="104" t="str">
        <f t="shared" si="0"/>
        <v/>
      </c>
      <c r="J47" s="111"/>
      <c r="K47" s="112"/>
      <c r="L47" s="91"/>
    </row>
    <row r="48" spans="1:12" ht="13.2">
      <c r="A48" s="91"/>
      <c r="B48" s="107"/>
      <c r="C48" s="108"/>
      <c r="D48" s="108"/>
      <c r="E48" s="108"/>
      <c r="F48" s="108"/>
      <c r="G48" s="108"/>
      <c r="H48" s="110"/>
      <c r="I48" s="104" t="str">
        <f t="shared" si="0"/>
        <v/>
      </c>
      <c r="J48" s="111"/>
      <c r="K48" s="112"/>
      <c r="L48" s="91"/>
    </row>
    <row r="49" spans="1:12" ht="13.2">
      <c r="A49" s="91"/>
      <c r="B49" s="107"/>
      <c r="C49" s="108"/>
      <c r="D49" s="108"/>
      <c r="E49" s="108"/>
      <c r="F49" s="108"/>
      <c r="G49" s="108"/>
      <c r="H49" s="110"/>
      <c r="I49" s="104" t="str">
        <f t="shared" si="0"/>
        <v/>
      </c>
      <c r="J49" s="111"/>
      <c r="K49" s="112"/>
      <c r="L49" s="91"/>
    </row>
    <row r="50" spans="1:12" ht="13.2">
      <c r="A50" s="91"/>
      <c r="B50" s="107"/>
      <c r="C50" s="108"/>
      <c r="D50" s="108"/>
      <c r="E50" s="108"/>
      <c r="F50" s="108"/>
      <c r="G50" s="108"/>
      <c r="H50" s="110"/>
      <c r="I50" s="104" t="str">
        <f t="shared" si="0"/>
        <v/>
      </c>
      <c r="J50" s="111"/>
      <c r="K50" s="112"/>
      <c r="L50" s="91"/>
    </row>
    <row r="51" spans="1:12" ht="13.2">
      <c r="A51" s="91"/>
      <c r="B51" s="107"/>
      <c r="C51" s="108"/>
      <c r="D51" s="108"/>
      <c r="E51" s="108"/>
      <c r="F51" s="108"/>
      <c r="G51" s="108"/>
      <c r="H51" s="110"/>
      <c r="I51" s="104" t="str">
        <f t="shared" si="0"/>
        <v/>
      </c>
      <c r="J51" s="111"/>
      <c r="K51" s="112"/>
      <c r="L51" s="91"/>
    </row>
    <row r="52" spans="1:12" ht="13.2">
      <c r="A52" s="91"/>
      <c r="B52" s="107"/>
      <c r="C52" s="108"/>
      <c r="D52" s="108"/>
      <c r="E52" s="108"/>
      <c r="F52" s="108"/>
      <c r="G52" s="108"/>
      <c r="H52" s="110"/>
      <c r="I52" s="104" t="str">
        <f t="shared" si="0"/>
        <v/>
      </c>
      <c r="J52" s="111"/>
      <c r="K52" s="112"/>
      <c r="L52" s="91"/>
    </row>
    <row r="53" spans="1:12" ht="13.2">
      <c r="A53" s="91"/>
      <c r="B53" s="107"/>
      <c r="C53" s="108"/>
      <c r="D53" s="108"/>
      <c r="E53" s="108"/>
      <c r="F53" s="108"/>
      <c r="G53" s="108"/>
      <c r="H53" s="110"/>
      <c r="I53" s="104" t="str">
        <f t="shared" si="0"/>
        <v/>
      </c>
      <c r="J53" s="111"/>
      <c r="K53" s="112"/>
      <c r="L53" s="91"/>
    </row>
    <row r="54" spans="1:12" ht="13.2">
      <c r="A54" s="91"/>
      <c r="B54" s="107"/>
      <c r="C54" s="108"/>
      <c r="D54" s="108"/>
      <c r="E54" s="108"/>
      <c r="F54" s="108"/>
      <c r="G54" s="108"/>
      <c r="H54" s="110"/>
      <c r="I54" s="104" t="str">
        <f t="shared" si="0"/>
        <v/>
      </c>
      <c r="J54" s="111"/>
      <c r="K54" s="112"/>
      <c r="L54" s="91"/>
    </row>
    <row r="55" spans="1:12" ht="13.2">
      <c r="A55" s="91"/>
      <c r="B55" s="107"/>
      <c r="C55" s="108"/>
      <c r="D55" s="108"/>
      <c r="E55" s="108"/>
      <c r="F55" s="108"/>
      <c r="G55" s="108"/>
      <c r="H55" s="110"/>
      <c r="I55" s="104" t="str">
        <f t="shared" si="0"/>
        <v/>
      </c>
      <c r="J55" s="111"/>
      <c r="K55" s="112"/>
      <c r="L55" s="91"/>
    </row>
    <row r="56" spans="1:12" ht="13.2">
      <c r="A56" s="91"/>
      <c r="B56" s="107"/>
      <c r="C56" s="108"/>
      <c r="D56" s="108"/>
      <c r="E56" s="108"/>
      <c r="F56" s="108"/>
      <c r="G56" s="108"/>
      <c r="H56" s="110"/>
      <c r="I56" s="104" t="str">
        <f t="shared" si="0"/>
        <v/>
      </c>
      <c r="J56" s="111"/>
      <c r="K56" s="112"/>
      <c r="L56" s="91"/>
    </row>
    <row r="57" spans="1:12" ht="13.2">
      <c r="A57" s="91"/>
      <c r="B57" s="107"/>
      <c r="C57" s="108"/>
      <c r="D57" s="108"/>
      <c r="E57" s="108"/>
      <c r="F57" s="108"/>
      <c r="G57" s="108"/>
      <c r="H57" s="110"/>
      <c r="I57" s="104" t="str">
        <f t="shared" si="0"/>
        <v/>
      </c>
      <c r="J57" s="111"/>
      <c r="K57" s="112"/>
      <c r="L57" s="91"/>
    </row>
    <row r="58" spans="1:12" ht="13.2">
      <c r="A58" s="91"/>
      <c r="B58" s="107"/>
      <c r="C58" s="108"/>
      <c r="D58" s="108"/>
      <c r="E58" s="108"/>
      <c r="F58" s="108"/>
      <c r="G58" s="108"/>
      <c r="H58" s="110"/>
      <c r="I58" s="104" t="str">
        <f t="shared" si="0"/>
        <v/>
      </c>
      <c r="J58" s="111"/>
      <c r="K58" s="112"/>
      <c r="L58" s="91"/>
    </row>
    <row r="59" spans="1:12" ht="13.2">
      <c r="A59" s="91"/>
      <c r="B59" s="107"/>
      <c r="C59" s="108"/>
      <c r="D59" s="108"/>
      <c r="E59" s="108"/>
      <c r="F59" s="108"/>
      <c r="G59" s="108"/>
      <c r="H59" s="110"/>
      <c r="I59" s="104" t="str">
        <f t="shared" si="0"/>
        <v/>
      </c>
      <c r="J59" s="111"/>
      <c r="K59" s="112"/>
      <c r="L59" s="91"/>
    </row>
    <row r="60" spans="1:12" ht="13.2">
      <c r="A60" s="91"/>
      <c r="B60" s="107"/>
      <c r="C60" s="108"/>
      <c r="D60" s="108"/>
      <c r="E60" s="108"/>
      <c r="F60" s="108"/>
      <c r="G60" s="108"/>
      <c r="H60" s="110"/>
      <c r="I60" s="104" t="str">
        <f t="shared" si="0"/>
        <v/>
      </c>
      <c r="J60" s="111"/>
      <c r="K60" s="112"/>
      <c r="L60" s="91"/>
    </row>
    <row r="61" spans="1:12" ht="13.2">
      <c r="A61" s="91"/>
      <c r="B61" s="107"/>
      <c r="C61" s="108"/>
      <c r="D61" s="108"/>
      <c r="E61" s="108"/>
      <c r="F61" s="108"/>
      <c r="G61" s="108"/>
      <c r="H61" s="110"/>
      <c r="I61" s="104" t="str">
        <f t="shared" si="0"/>
        <v/>
      </c>
      <c r="J61" s="111"/>
      <c r="K61" s="112"/>
      <c r="L61" s="91"/>
    </row>
    <row r="62" spans="1:12" ht="13.2">
      <c r="A62" s="91"/>
      <c r="B62" s="107"/>
      <c r="C62" s="108"/>
      <c r="D62" s="108"/>
      <c r="E62" s="108"/>
      <c r="F62" s="108"/>
      <c r="G62" s="108"/>
      <c r="H62" s="110"/>
      <c r="I62" s="104" t="str">
        <f t="shared" si="0"/>
        <v/>
      </c>
      <c r="J62" s="111"/>
      <c r="K62" s="112"/>
      <c r="L62" s="91"/>
    </row>
    <row r="63" spans="1:12" ht="13.2">
      <c r="A63" s="91"/>
      <c r="B63" s="107"/>
      <c r="C63" s="108"/>
      <c r="D63" s="108"/>
      <c r="E63" s="108"/>
      <c r="F63" s="108"/>
      <c r="G63" s="108"/>
      <c r="H63" s="110"/>
      <c r="I63" s="104" t="str">
        <f t="shared" si="0"/>
        <v/>
      </c>
      <c r="J63" s="111"/>
      <c r="K63" s="112"/>
      <c r="L63" s="91"/>
    </row>
    <row r="64" spans="1:12" ht="13.2">
      <c r="A64" s="91"/>
      <c r="B64" s="107"/>
      <c r="C64" s="108"/>
      <c r="D64" s="108"/>
      <c r="E64" s="108"/>
      <c r="F64" s="108"/>
      <c r="G64" s="108"/>
      <c r="H64" s="110"/>
      <c r="I64" s="104" t="str">
        <f t="shared" si="0"/>
        <v/>
      </c>
      <c r="J64" s="111"/>
      <c r="K64" s="112"/>
      <c r="L64" s="91"/>
    </row>
    <row r="65" spans="1:12" ht="13.2">
      <c r="A65" s="91"/>
      <c r="B65" s="107"/>
      <c r="C65" s="108"/>
      <c r="D65" s="108"/>
      <c r="E65" s="108"/>
      <c r="F65" s="108"/>
      <c r="G65" s="108"/>
      <c r="H65" s="110"/>
      <c r="I65" s="104" t="str">
        <f t="shared" si="0"/>
        <v/>
      </c>
      <c r="J65" s="111"/>
      <c r="K65" s="112"/>
      <c r="L65" s="91"/>
    </row>
    <row r="66" spans="1:12" ht="13.2">
      <c r="A66" s="91"/>
      <c r="B66" s="107"/>
      <c r="C66" s="108"/>
      <c r="D66" s="108"/>
      <c r="E66" s="108"/>
      <c r="F66" s="108"/>
      <c r="G66" s="108"/>
      <c r="H66" s="110"/>
      <c r="I66" s="104" t="str">
        <f t="shared" si="0"/>
        <v/>
      </c>
      <c r="J66" s="111"/>
      <c r="K66" s="112"/>
      <c r="L66" s="91"/>
    </row>
    <row r="67" spans="1:12" ht="13.2">
      <c r="A67" s="91"/>
      <c r="B67" s="107"/>
      <c r="C67" s="108"/>
      <c r="D67" s="108"/>
      <c r="E67" s="108"/>
      <c r="F67" s="108"/>
      <c r="G67" s="108"/>
      <c r="H67" s="110"/>
      <c r="I67" s="104" t="str">
        <f t="shared" si="0"/>
        <v/>
      </c>
      <c r="J67" s="111"/>
      <c r="K67" s="112"/>
      <c r="L67" s="91"/>
    </row>
    <row r="68" spans="1:12" ht="13.2">
      <c r="A68" s="91"/>
      <c r="B68" s="107"/>
      <c r="C68" s="108"/>
      <c r="D68" s="108"/>
      <c r="E68" s="108"/>
      <c r="F68" s="108"/>
      <c r="G68" s="108"/>
      <c r="H68" s="110"/>
      <c r="I68" s="104" t="str">
        <f t="shared" si="0"/>
        <v/>
      </c>
      <c r="J68" s="111"/>
      <c r="K68" s="112"/>
      <c r="L68" s="91"/>
    </row>
    <row r="69" spans="1:12" ht="13.2">
      <c r="A69" s="91"/>
      <c r="B69" s="107"/>
      <c r="C69" s="108"/>
      <c r="D69" s="108"/>
      <c r="E69" s="108"/>
      <c r="F69" s="108"/>
      <c r="G69" s="108"/>
      <c r="H69" s="110"/>
      <c r="I69" s="104" t="str">
        <f t="shared" si="0"/>
        <v/>
      </c>
      <c r="J69" s="111"/>
      <c r="K69" s="112"/>
      <c r="L69" s="91"/>
    </row>
    <row r="70" spans="1:12" ht="13.2">
      <c r="A70" s="91"/>
      <c r="B70" s="107"/>
      <c r="C70" s="108"/>
      <c r="D70" s="108"/>
      <c r="E70" s="108"/>
      <c r="F70" s="108"/>
      <c r="G70" s="108"/>
      <c r="H70" s="110"/>
      <c r="I70" s="104" t="str">
        <f t="shared" si="0"/>
        <v/>
      </c>
      <c r="J70" s="111"/>
      <c r="K70" s="112"/>
      <c r="L70" s="91"/>
    </row>
    <row r="71" spans="1:12" ht="13.2">
      <c r="A71" s="91"/>
      <c r="B71" s="107"/>
      <c r="C71" s="108"/>
      <c r="D71" s="108"/>
      <c r="E71" s="108"/>
      <c r="F71" s="108"/>
      <c r="G71" s="108"/>
      <c r="H71" s="110"/>
      <c r="I71" s="104" t="str">
        <f t="shared" si="0"/>
        <v/>
      </c>
      <c r="J71" s="111"/>
      <c r="K71" s="112"/>
      <c r="L71" s="91"/>
    </row>
    <row r="72" spans="1:12" ht="13.2">
      <c r="A72" s="91"/>
      <c r="B72" s="107"/>
      <c r="C72" s="108"/>
      <c r="D72" s="108"/>
      <c r="E72" s="108"/>
      <c r="F72" s="108"/>
      <c r="G72" s="108"/>
      <c r="H72" s="110"/>
      <c r="I72" s="104" t="str">
        <f t="shared" si="0"/>
        <v/>
      </c>
      <c r="J72" s="111"/>
      <c r="K72" s="112"/>
      <c r="L72" s="91"/>
    </row>
    <row r="73" spans="1:12" ht="13.2">
      <c r="A73" s="91"/>
      <c r="B73" s="107"/>
      <c r="C73" s="108"/>
      <c r="D73" s="108"/>
      <c r="E73" s="108"/>
      <c r="F73" s="108"/>
      <c r="G73" s="108"/>
      <c r="H73" s="110"/>
      <c r="I73" s="104" t="str">
        <f t="shared" si="0"/>
        <v/>
      </c>
      <c r="J73" s="111"/>
      <c r="K73" s="112"/>
      <c r="L73" s="91"/>
    </row>
    <row r="74" spans="1:12" ht="13.2">
      <c r="A74" s="91"/>
      <c r="B74" s="107"/>
      <c r="C74" s="108"/>
      <c r="D74" s="108"/>
      <c r="E74" s="108"/>
      <c r="F74" s="108"/>
      <c r="G74" s="108"/>
      <c r="H74" s="110"/>
      <c r="I74" s="104" t="str">
        <f t="shared" si="0"/>
        <v/>
      </c>
      <c r="J74" s="111"/>
      <c r="K74" s="112"/>
      <c r="L74" s="91"/>
    </row>
    <row r="75" spans="1:12" ht="13.2">
      <c r="A75" s="91"/>
      <c r="B75" s="107"/>
      <c r="C75" s="108"/>
      <c r="D75" s="108"/>
      <c r="E75" s="108"/>
      <c r="F75" s="108"/>
      <c r="G75" s="108"/>
      <c r="H75" s="110"/>
      <c r="I75" s="104" t="str">
        <f t="shared" si="0"/>
        <v/>
      </c>
      <c r="J75" s="111"/>
      <c r="K75" s="112"/>
      <c r="L75" s="91"/>
    </row>
    <row r="76" spans="1:12" ht="13.2">
      <c r="A76" s="91"/>
      <c r="B76" s="107"/>
      <c r="C76" s="108"/>
      <c r="D76" s="108"/>
      <c r="E76" s="108"/>
      <c r="F76" s="108"/>
      <c r="G76" s="108"/>
      <c r="H76" s="110"/>
      <c r="I76" s="104" t="str">
        <f t="shared" si="0"/>
        <v/>
      </c>
      <c r="J76" s="111"/>
      <c r="K76" s="112"/>
      <c r="L76" s="91"/>
    </row>
    <row r="77" spans="1:12" ht="13.2">
      <c r="A77" s="91"/>
      <c r="B77" s="107"/>
      <c r="C77" s="108"/>
      <c r="D77" s="108"/>
      <c r="E77" s="108"/>
      <c r="F77" s="108"/>
      <c r="G77" s="108"/>
      <c r="H77" s="110"/>
      <c r="I77" s="104" t="str">
        <f t="shared" si="0"/>
        <v/>
      </c>
      <c r="J77" s="111"/>
      <c r="K77" s="112"/>
      <c r="L77" s="91"/>
    </row>
    <row r="78" spans="1:12" ht="13.2">
      <c r="A78" s="91"/>
      <c r="B78" s="107"/>
      <c r="C78" s="108"/>
      <c r="D78" s="108"/>
      <c r="E78" s="108"/>
      <c r="F78" s="108"/>
      <c r="G78" s="108"/>
      <c r="H78" s="110"/>
      <c r="I78" s="104" t="str">
        <f t="shared" si="0"/>
        <v/>
      </c>
      <c r="J78" s="111"/>
      <c r="K78" s="112"/>
      <c r="L78" s="91"/>
    </row>
    <row r="79" spans="1:12" ht="13.2">
      <c r="A79" s="91"/>
      <c r="B79" s="107"/>
      <c r="C79" s="108"/>
      <c r="D79" s="108"/>
      <c r="E79" s="108"/>
      <c r="F79" s="108"/>
      <c r="G79" s="108"/>
      <c r="H79" s="110"/>
      <c r="I79" s="104" t="str">
        <f t="shared" si="0"/>
        <v/>
      </c>
      <c r="J79" s="111"/>
      <c r="K79" s="112"/>
      <c r="L79" s="91"/>
    </row>
    <row r="80" spans="1:12" ht="13.2">
      <c r="A80" s="91"/>
      <c r="B80" s="107"/>
      <c r="C80" s="108"/>
      <c r="D80" s="108"/>
      <c r="E80" s="108"/>
      <c r="F80" s="108"/>
      <c r="G80" s="108"/>
      <c r="H80" s="110"/>
      <c r="I80" s="104" t="str">
        <f t="shared" si="0"/>
        <v/>
      </c>
      <c r="J80" s="111"/>
      <c r="K80" s="112"/>
      <c r="L80" s="91"/>
    </row>
    <row r="81" spans="1:12" ht="13.2">
      <c r="A81" s="91"/>
      <c r="B81" s="107"/>
      <c r="C81" s="108"/>
      <c r="D81" s="108"/>
      <c r="E81" s="108"/>
      <c r="F81" s="108"/>
      <c r="G81" s="108"/>
      <c r="H81" s="110"/>
      <c r="I81" s="104" t="str">
        <f t="shared" si="0"/>
        <v/>
      </c>
      <c r="J81" s="111"/>
      <c r="K81" s="112"/>
      <c r="L81" s="91"/>
    </row>
    <row r="82" spans="1:12" ht="13.2">
      <c r="A82" s="91"/>
      <c r="B82" s="107"/>
      <c r="C82" s="108"/>
      <c r="D82" s="108"/>
      <c r="E82" s="108"/>
      <c r="F82" s="108"/>
      <c r="G82" s="108"/>
      <c r="H82" s="110"/>
      <c r="I82" s="104" t="str">
        <f t="shared" si="0"/>
        <v/>
      </c>
      <c r="J82" s="111"/>
      <c r="K82" s="112"/>
      <c r="L82" s="91"/>
    </row>
    <row r="83" spans="1:12" ht="13.2">
      <c r="A83" s="91"/>
      <c r="B83" s="107"/>
      <c r="C83" s="108"/>
      <c r="D83" s="108"/>
      <c r="E83" s="108"/>
      <c r="F83" s="108"/>
      <c r="G83" s="108"/>
      <c r="H83" s="110"/>
      <c r="I83" s="104" t="str">
        <f t="shared" si="0"/>
        <v/>
      </c>
      <c r="J83" s="111"/>
      <c r="K83" s="112"/>
      <c r="L83" s="91"/>
    </row>
    <row r="84" spans="1:12" ht="13.2">
      <c r="A84" s="91"/>
      <c r="B84" s="107"/>
      <c r="C84" s="108"/>
      <c r="D84" s="108"/>
      <c r="E84" s="108"/>
      <c r="F84" s="108"/>
      <c r="G84" s="108"/>
      <c r="H84" s="110"/>
      <c r="I84" s="104" t="str">
        <f t="shared" si="0"/>
        <v/>
      </c>
      <c r="J84" s="111"/>
      <c r="K84" s="112"/>
      <c r="L84" s="91"/>
    </row>
    <row r="85" spans="1:12" ht="13.2">
      <c r="A85" s="91"/>
      <c r="B85" s="107"/>
      <c r="C85" s="108"/>
      <c r="D85" s="108"/>
      <c r="E85" s="108"/>
      <c r="F85" s="108"/>
      <c r="G85" s="108"/>
      <c r="H85" s="110"/>
      <c r="I85" s="104" t="str">
        <f t="shared" si="0"/>
        <v/>
      </c>
      <c r="J85" s="111"/>
      <c r="K85" s="112"/>
      <c r="L85" s="91"/>
    </row>
    <row r="86" spans="1:12" ht="13.2">
      <c r="A86" s="91"/>
      <c r="B86" s="107"/>
      <c r="C86" s="108"/>
      <c r="D86" s="108"/>
      <c r="E86" s="108"/>
      <c r="F86" s="108"/>
      <c r="G86" s="108"/>
      <c r="H86" s="110"/>
      <c r="I86" s="104" t="str">
        <f t="shared" si="0"/>
        <v/>
      </c>
      <c r="J86" s="111"/>
      <c r="K86" s="112"/>
      <c r="L86" s="91"/>
    </row>
    <row r="87" spans="1:12" ht="13.2">
      <c r="A87" s="91"/>
      <c r="B87" s="107"/>
      <c r="C87" s="108"/>
      <c r="D87" s="108"/>
      <c r="E87" s="108"/>
      <c r="F87" s="108"/>
      <c r="G87" s="108"/>
      <c r="H87" s="110"/>
      <c r="I87" s="104" t="str">
        <f t="shared" si="0"/>
        <v/>
      </c>
      <c r="J87" s="111"/>
      <c r="K87" s="112"/>
      <c r="L87" s="91"/>
    </row>
    <row r="88" spans="1:12" ht="13.2">
      <c r="A88" s="91"/>
      <c r="B88" s="107"/>
      <c r="C88" s="108"/>
      <c r="D88" s="108"/>
      <c r="E88" s="108"/>
      <c r="F88" s="108"/>
      <c r="G88" s="108"/>
      <c r="H88" s="110"/>
      <c r="I88" s="104" t="str">
        <f t="shared" si="0"/>
        <v/>
      </c>
      <c r="J88" s="111"/>
      <c r="K88" s="112"/>
      <c r="L88" s="91"/>
    </row>
    <row r="89" spans="1:12" ht="13.2">
      <c r="A89" s="91"/>
      <c r="B89" s="107"/>
      <c r="C89" s="108"/>
      <c r="D89" s="108"/>
      <c r="E89" s="108"/>
      <c r="F89" s="108"/>
      <c r="G89" s="108"/>
      <c r="H89" s="110"/>
      <c r="I89" s="104" t="str">
        <f t="shared" si="0"/>
        <v/>
      </c>
      <c r="J89" s="111"/>
      <c r="K89" s="112"/>
      <c r="L89" s="91"/>
    </row>
    <row r="90" spans="1:12" ht="13.2">
      <c r="A90" s="91"/>
      <c r="B90" s="107"/>
      <c r="C90" s="108"/>
      <c r="D90" s="108"/>
      <c r="E90" s="108"/>
      <c r="F90" s="108"/>
      <c r="G90" s="108"/>
      <c r="H90" s="110"/>
      <c r="I90" s="104" t="str">
        <f t="shared" si="0"/>
        <v/>
      </c>
      <c r="J90" s="111"/>
      <c r="K90" s="112"/>
      <c r="L90" s="91"/>
    </row>
    <row r="91" spans="1:12" ht="13.2">
      <c r="A91" s="91"/>
      <c r="B91" s="107"/>
      <c r="C91" s="108"/>
      <c r="D91" s="108"/>
      <c r="E91" s="108"/>
      <c r="F91" s="108"/>
      <c r="G91" s="108"/>
      <c r="H91" s="110"/>
      <c r="I91" s="104" t="str">
        <f t="shared" si="0"/>
        <v/>
      </c>
      <c r="J91" s="111"/>
      <c r="K91" s="112"/>
      <c r="L91" s="91"/>
    </row>
    <row r="92" spans="1:12" ht="13.2">
      <c r="A92" s="91"/>
      <c r="B92" s="107"/>
      <c r="C92" s="108"/>
      <c r="D92" s="108"/>
      <c r="E92" s="108"/>
      <c r="F92" s="108"/>
      <c r="G92" s="108"/>
      <c r="H92" s="110"/>
      <c r="I92" s="104" t="str">
        <f t="shared" si="0"/>
        <v/>
      </c>
      <c r="J92" s="111"/>
      <c r="K92" s="112"/>
      <c r="L92" s="91"/>
    </row>
    <row r="93" spans="1:12" ht="13.2">
      <c r="A93" s="91"/>
      <c r="B93" s="107"/>
      <c r="C93" s="108"/>
      <c r="D93" s="108"/>
      <c r="E93" s="108"/>
      <c r="F93" s="108"/>
      <c r="G93" s="108"/>
      <c r="H93" s="110"/>
      <c r="I93" s="104" t="str">
        <f t="shared" si="0"/>
        <v/>
      </c>
      <c r="J93" s="111"/>
      <c r="K93" s="112"/>
      <c r="L93" s="91"/>
    </row>
    <row r="94" spans="1:12" ht="13.2">
      <c r="A94" s="91"/>
      <c r="B94" s="107"/>
      <c r="C94" s="108"/>
      <c r="D94" s="108"/>
      <c r="E94" s="108"/>
      <c r="F94" s="108"/>
      <c r="G94" s="108"/>
      <c r="H94" s="110"/>
      <c r="I94" s="104" t="str">
        <f t="shared" si="0"/>
        <v/>
      </c>
      <c r="J94" s="111"/>
      <c r="K94" s="112"/>
      <c r="L94" s="91"/>
    </row>
    <row r="95" spans="1:12" ht="13.2">
      <c r="A95" s="91"/>
      <c r="B95" s="107"/>
      <c r="C95" s="108"/>
      <c r="D95" s="108"/>
      <c r="E95" s="108"/>
      <c r="F95" s="108"/>
      <c r="G95" s="108"/>
      <c r="H95" s="110"/>
      <c r="I95" s="104" t="str">
        <f t="shared" si="0"/>
        <v/>
      </c>
      <c r="J95" s="111"/>
      <c r="K95" s="112"/>
      <c r="L95" s="91"/>
    </row>
    <row r="96" spans="1:12" ht="13.2">
      <c r="A96" s="91"/>
      <c r="B96" s="107"/>
      <c r="C96" s="108"/>
      <c r="D96" s="108"/>
      <c r="E96" s="108"/>
      <c r="F96" s="108"/>
      <c r="G96" s="108"/>
      <c r="H96" s="110"/>
      <c r="I96" s="104" t="str">
        <f t="shared" si="0"/>
        <v/>
      </c>
      <c r="J96" s="111"/>
      <c r="K96" s="112"/>
      <c r="L96" s="91"/>
    </row>
    <row r="97" spans="1:12" ht="13.2">
      <c r="A97" s="91"/>
      <c r="B97" s="107"/>
      <c r="C97" s="108"/>
      <c r="D97" s="108"/>
      <c r="E97" s="108"/>
      <c r="F97" s="108"/>
      <c r="G97" s="108"/>
      <c r="H97" s="110"/>
      <c r="I97" s="104" t="str">
        <f t="shared" si="0"/>
        <v/>
      </c>
      <c r="J97" s="111"/>
      <c r="K97" s="112"/>
      <c r="L97" s="91"/>
    </row>
    <row r="98" spans="1:12" ht="13.2">
      <c r="A98" s="91"/>
      <c r="B98" s="107"/>
      <c r="C98" s="108"/>
      <c r="D98" s="108"/>
      <c r="E98" s="108"/>
      <c r="F98" s="108"/>
      <c r="G98" s="108"/>
      <c r="H98" s="110"/>
      <c r="I98" s="104" t="str">
        <f t="shared" si="0"/>
        <v/>
      </c>
      <c r="J98" s="111"/>
      <c r="K98" s="112"/>
      <c r="L98" s="91"/>
    </row>
    <row r="99" spans="1:12" ht="13.2">
      <c r="A99" s="91"/>
      <c r="B99" s="107"/>
      <c r="C99" s="108"/>
      <c r="D99" s="108"/>
      <c r="E99" s="108"/>
      <c r="F99" s="108"/>
      <c r="G99" s="108"/>
      <c r="H99" s="110"/>
      <c r="I99" s="104" t="str">
        <f t="shared" si="0"/>
        <v/>
      </c>
      <c r="J99" s="111"/>
      <c r="K99" s="112"/>
      <c r="L99" s="91"/>
    </row>
    <row r="100" spans="1:12" ht="13.2">
      <c r="A100" s="91"/>
      <c r="B100" s="107"/>
      <c r="C100" s="108"/>
      <c r="D100" s="108"/>
      <c r="E100" s="108"/>
      <c r="F100" s="108"/>
      <c r="G100" s="108"/>
      <c r="H100" s="110"/>
      <c r="I100" s="104" t="str">
        <f t="shared" si="0"/>
        <v/>
      </c>
      <c r="J100" s="111"/>
      <c r="K100" s="112"/>
      <c r="L100" s="91"/>
    </row>
    <row r="101" spans="1:12" ht="13.2">
      <c r="A101" s="91"/>
      <c r="B101" s="107"/>
      <c r="C101" s="108"/>
      <c r="D101" s="108"/>
      <c r="E101" s="108"/>
      <c r="F101" s="108"/>
      <c r="G101" s="108"/>
      <c r="H101" s="110"/>
      <c r="I101" s="104" t="str">
        <f t="shared" si="0"/>
        <v/>
      </c>
      <c r="J101" s="111"/>
      <c r="K101" s="112"/>
      <c r="L101" s="91"/>
    </row>
    <row r="102" spans="1:12" ht="13.2">
      <c r="A102" s="91"/>
      <c r="B102" s="107"/>
      <c r="C102" s="108"/>
      <c r="D102" s="108"/>
      <c r="E102" s="108"/>
      <c r="F102" s="108"/>
      <c r="G102" s="108"/>
      <c r="H102" s="110"/>
      <c r="I102" s="104" t="str">
        <f t="shared" si="0"/>
        <v/>
      </c>
      <c r="J102" s="111"/>
      <c r="K102" s="112"/>
      <c r="L102" s="91"/>
    </row>
    <row r="103" spans="1:12" ht="13.2">
      <c r="A103" s="91"/>
      <c r="B103" s="107"/>
      <c r="C103" s="108"/>
      <c r="D103" s="108"/>
      <c r="E103" s="108"/>
      <c r="F103" s="108"/>
      <c r="G103" s="108"/>
      <c r="H103" s="110"/>
      <c r="I103" s="104" t="str">
        <f t="shared" si="0"/>
        <v/>
      </c>
      <c r="J103" s="111"/>
      <c r="K103" s="112"/>
      <c r="L103" s="91"/>
    </row>
    <row r="104" spans="1:12" ht="13.2">
      <c r="A104" s="91"/>
      <c r="B104" s="107"/>
      <c r="C104" s="108"/>
      <c r="D104" s="108"/>
      <c r="E104" s="108"/>
      <c r="F104" s="108"/>
      <c r="G104" s="108"/>
      <c r="H104" s="110"/>
      <c r="I104" s="104" t="str">
        <f t="shared" si="0"/>
        <v/>
      </c>
      <c r="J104" s="111"/>
      <c r="K104" s="112"/>
      <c r="L104" s="91"/>
    </row>
    <row r="105" spans="1:12" ht="13.2">
      <c r="A105" s="91"/>
      <c r="B105" s="107"/>
      <c r="C105" s="108"/>
      <c r="D105" s="108"/>
      <c r="E105" s="108"/>
      <c r="F105" s="108"/>
      <c r="G105" s="108"/>
      <c r="H105" s="110"/>
      <c r="I105" s="104" t="str">
        <f t="shared" si="0"/>
        <v/>
      </c>
      <c r="J105" s="111"/>
      <c r="K105" s="112"/>
      <c r="L105" s="91"/>
    </row>
    <row r="106" spans="1:12" ht="13.2">
      <c r="A106" s="91"/>
      <c r="B106" s="107"/>
      <c r="C106" s="108"/>
      <c r="D106" s="108"/>
      <c r="E106" s="108"/>
      <c r="F106" s="108"/>
      <c r="G106" s="108"/>
      <c r="H106" s="110"/>
      <c r="I106" s="104" t="str">
        <f t="shared" si="0"/>
        <v/>
      </c>
      <c r="J106" s="111"/>
      <c r="K106" s="112"/>
      <c r="L106" s="91"/>
    </row>
    <row r="107" spans="1:12" ht="13.2">
      <c r="A107" s="91"/>
      <c r="B107" s="116"/>
      <c r="C107" s="117"/>
      <c r="D107" s="117"/>
      <c r="E107" s="117"/>
      <c r="F107" s="117"/>
      <c r="G107" s="117"/>
      <c r="H107" s="118"/>
      <c r="I107" s="119" t="str">
        <f t="shared" si="0"/>
        <v/>
      </c>
      <c r="J107" s="120"/>
      <c r="K107" s="121"/>
      <c r="L107" s="91"/>
    </row>
    <row r="108" spans="1:12" ht="13.2">
      <c r="A108" s="91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1"/>
    </row>
  </sheetData>
  <mergeCells count="1">
    <mergeCell ref="B2:K4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>
          <x14:formula1>
            <xm:f>Setup!$B$3:$E$3</xm:f>
          </x14:formula1>
          <xm:sqref>C7:C107</xm:sqref>
        </x14:dataValidation>
        <x14:dataValidation type="list" allowBlank="1" showErrorMessage="1">
          <x14:formula1>
            <xm:f>Setup!$G4:$Z4</xm:f>
          </x14:formula1>
          <xm:sqref>D7:D107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8"/>
  <sheetViews>
    <sheetView showGridLines="0" workbookViewId="0"/>
  </sheetViews>
  <sheetFormatPr defaultColWidth="12.5546875" defaultRowHeight="15.75" customHeight="1"/>
  <cols>
    <col min="1" max="1" width="2.88671875" customWidth="1"/>
    <col min="2" max="7" width="19.44140625" customWidth="1"/>
    <col min="8" max="8" width="2.88671875" customWidth="1"/>
  </cols>
  <sheetData>
    <row r="1" spans="1:8" ht="13.2">
      <c r="A1" s="91"/>
      <c r="B1" s="92"/>
      <c r="C1" s="92"/>
      <c r="D1" s="92"/>
      <c r="E1" s="92"/>
      <c r="F1" s="92"/>
      <c r="G1" s="92"/>
      <c r="H1" s="91"/>
    </row>
    <row r="2" spans="1:8" ht="13.2">
      <c r="A2" s="91"/>
      <c r="B2" s="194" t="s">
        <v>85</v>
      </c>
      <c r="C2" s="163"/>
      <c r="D2" s="163"/>
      <c r="E2" s="163"/>
      <c r="F2" s="163"/>
      <c r="G2" s="195"/>
      <c r="H2" s="91"/>
    </row>
    <row r="3" spans="1:8" ht="13.2">
      <c r="A3" s="91"/>
      <c r="B3" s="181"/>
      <c r="C3" s="155"/>
      <c r="D3" s="155"/>
      <c r="E3" s="155"/>
      <c r="F3" s="155"/>
      <c r="G3" s="196"/>
      <c r="H3" s="91"/>
    </row>
    <row r="4" spans="1:8" ht="13.2">
      <c r="A4" s="91"/>
      <c r="B4" s="181"/>
      <c r="C4" s="155"/>
      <c r="D4" s="155"/>
      <c r="E4" s="155"/>
      <c r="F4" s="155"/>
      <c r="G4" s="196"/>
      <c r="H4" s="91"/>
    </row>
    <row r="5" spans="1:8" ht="6" customHeight="1">
      <c r="A5" s="91"/>
      <c r="B5" s="93"/>
      <c r="C5" s="94"/>
      <c r="D5" s="94"/>
      <c r="E5" s="94"/>
      <c r="F5" s="94"/>
      <c r="G5" s="95"/>
      <c r="H5" s="91"/>
    </row>
    <row r="6" spans="1:8" ht="21" customHeight="1">
      <c r="A6" s="96"/>
      <c r="B6" s="97" t="s">
        <v>86</v>
      </c>
      <c r="C6" s="98" t="s">
        <v>18</v>
      </c>
      <c r="D6" s="98" t="s">
        <v>87</v>
      </c>
      <c r="E6" s="98" t="s">
        <v>88</v>
      </c>
      <c r="F6" s="98" t="s">
        <v>24</v>
      </c>
      <c r="G6" s="99" t="s">
        <v>89</v>
      </c>
      <c r="H6" s="96"/>
    </row>
    <row r="7" spans="1:8" ht="13.2">
      <c r="A7" s="91"/>
      <c r="B7" s="100" t="s">
        <v>90</v>
      </c>
      <c r="C7" s="101" t="s">
        <v>33</v>
      </c>
      <c r="D7" s="101">
        <v>100</v>
      </c>
      <c r="E7" s="105">
        <v>45092</v>
      </c>
      <c r="F7" s="105">
        <v>45108</v>
      </c>
      <c r="G7" s="122" t="s">
        <v>91</v>
      </c>
      <c r="H7" s="91"/>
    </row>
    <row r="8" spans="1:8" ht="13.2">
      <c r="A8" s="91"/>
      <c r="B8" s="107" t="s">
        <v>92</v>
      </c>
      <c r="C8" s="108" t="s">
        <v>37</v>
      </c>
      <c r="D8" s="108">
        <v>200</v>
      </c>
      <c r="E8" s="111">
        <v>45078</v>
      </c>
      <c r="F8" s="111">
        <v>45095</v>
      </c>
      <c r="G8" s="123" t="s">
        <v>93</v>
      </c>
      <c r="H8" s="91"/>
    </row>
    <row r="9" spans="1:8" ht="13.2">
      <c r="A9" s="91"/>
      <c r="B9" s="107" t="s">
        <v>94</v>
      </c>
      <c r="C9" s="108" t="s">
        <v>41</v>
      </c>
      <c r="D9" s="108">
        <v>250</v>
      </c>
      <c r="E9" s="111">
        <v>45117</v>
      </c>
      <c r="F9" s="111">
        <v>45131</v>
      </c>
      <c r="G9" s="123" t="s">
        <v>91</v>
      </c>
      <c r="H9" s="91"/>
    </row>
    <row r="10" spans="1:8" ht="13.2">
      <c r="A10" s="91"/>
      <c r="B10" s="107" t="s">
        <v>95</v>
      </c>
      <c r="C10" s="108" t="s">
        <v>45</v>
      </c>
      <c r="D10" s="108">
        <v>150</v>
      </c>
      <c r="E10" s="111">
        <v>45066</v>
      </c>
      <c r="F10" s="111">
        <v>45082</v>
      </c>
      <c r="G10" s="123" t="s">
        <v>93</v>
      </c>
      <c r="H10" s="91"/>
    </row>
    <row r="11" spans="1:8" ht="13.2">
      <c r="A11" s="91"/>
      <c r="B11" s="107"/>
      <c r="C11" s="108"/>
      <c r="D11" s="108"/>
      <c r="E11" s="111"/>
      <c r="F11" s="111"/>
      <c r="G11" s="123"/>
      <c r="H11" s="91"/>
    </row>
    <row r="12" spans="1:8" ht="13.2">
      <c r="A12" s="91"/>
      <c r="B12" s="107"/>
      <c r="C12" s="108"/>
      <c r="D12" s="108"/>
      <c r="E12" s="111"/>
      <c r="F12" s="111"/>
      <c r="G12" s="123"/>
      <c r="H12" s="91"/>
    </row>
    <row r="13" spans="1:8" ht="13.2">
      <c r="A13" s="91"/>
      <c r="B13" s="107"/>
      <c r="C13" s="108"/>
      <c r="D13" s="108"/>
      <c r="E13" s="111"/>
      <c r="F13" s="111"/>
      <c r="G13" s="123"/>
      <c r="H13" s="91"/>
    </row>
    <row r="14" spans="1:8" ht="13.2">
      <c r="A14" s="91"/>
      <c r="B14" s="107"/>
      <c r="C14" s="108"/>
      <c r="D14" s="108"/>
      <c r="E14" s="111"/>
      <c r="F14" s="111"/>
      <c r="G14" s="123"/>
      <c r="H14" s="91"/>
    </row>
    <row r="15" spans="1:8" ht="13.2">
      <c r="A15" s="91"/>
      <c r="B15" s="107"/>
      <c r="C15" s="108"/>
      <c r="D15" s="108"/>
      <c r="E15" s="111"/>
      <c r="F15" s="111"/>
      <c r="G15" s="123"/>
      <c r="H15" s="91"/>
    </row>
    <row r="16" spans="1:8" ht="13.2">
      <c r="A16" s="91"/>
      <c r="B16" s="107"/>
      <c r="C16" s="108"/>
      <c r="D16" s="108"/>
      <c r="E16" s="111"/>
      <c r="F16" s="111"/>
      <c r="G16" s="123"/>
      <c r="H16" s="91"/>
    </row>
    <row r="17" spans="1:8" ht="13.2">
      <c r="A17" s="91"/>
      <c r="B17" s="107"/>
      <c r="C17" s="108"/>
      <c r="D17" s="108"/>
      <c r="E17" s="111"/>
      <c r="F17" s="111"/>
      <c r="G17" s="123"/>
      <c r="H17" s="91"/>
    </row>
    <row r="18" spans="1:8" ht="13.2">
      <c r="A18" s="91"/>
      <c r="B18" s="107"/>
      <c r="C18" s="108"/>
      <c r="D18" s="108"/>
      <c r="E18" s="111"/>
      <c r="F18" s="111"/>
      <c r="G18" s="123"/>
      <c r="H18" s="91"/>
    </row>
    <row r="19" spans="1:8" ht="13.2">
      <c r="A19" s="91"/>
      <c r="B19" s="107"/>
      <c r="C19" s="108"/>
      <c r="D19" s="108"/>
      <c r="E19" s="111"/>
      <c r="F19" s="111"/>
      <c r="G19" s="123"/>
      <c r="H19" s="91"/>
    </row>
    <row r="20" spans="1:8" ht="13.2">
      <c r="A20" s="91"/>
      <c r="B20" s="107"/>
      <c r="C20" s="108"/>
      <c r="D20" s="108"/>
      <c r="E20" s="111"/>
      <c r="F20" s="111"/>
      <c r="G20" s="123"/>
      <c r="H20" s="91"/>
    </row>
    <row r="21" spans="1:8" ht="13.2">
      <c r="A21" s="91"/>
      <c r="B21" s="107"/>
      <c r="C21" s="108"/>
      <c r="D21" s="108"/>
      <c r="E21" s="111"/>
      <c r="F21" s="111"/>
      <c r="G21" s="123"/>
      <c r="H21" s="91"/>
    </row>
    <row r="22" spans="1:8" ht="13.2">
      <c r="A22" s="91"/>
      <c r="B22" s="107"/>
      <c r="C22" s="108"/>
      <c r="D22" s="108"/>
      <c r="E22" s="111"/>
      <c r="F22" s="111"/>
      <c r="G22" s="123"/>
      <c r="H22" s="91"/>
    </row>
    <row r="23" spans="1:8" ht="13.2">
      <c r="A23" s="91"/>
      <c r="B23" s="107"/>
      <c r="C23" s="108"/>
      <c r="D23" s="108"/>
      <c r="E23" s="111"/>
      <c r="F23" s="111"/>
      <c r="G23" s="123"/>
      <c r="H23" s="91"/>
    </row>
    <row r="24" spans="1:8" ht="13.2">
      <c r="A24" s="91"/>
      <c r="B24" s="107"/>
      <c r="C24" s="108"/>
      <c r="D24" s="108"/>
      <c r="E24" s="111"/>
      <c r="F24" s="111"/>
      <c r="G24" s="123"/>
      <c r="H24" s="91"/>
    </row>
    <row r="25" spans="1:8" ht="13.2">
      <c r="A25" s="91"/>
      <c r="B25" s="107"/>
      <c r="C25" s="108"/>
      <c r="D25" s="108"/>
      <c r="E25" s="111"/>
      <c r="F25" s="111"/>
      <c r="G25" s="123"/>
      <c r="H25" s="91"/>
    </row>
    <row r="26" spans="1:8" ht="13.2">
      <c r="A26" s="91"/>
      <c r="B26" s="107"/>
      <c r="C26" s="108"/>
      <c r="D26" s="108"/>
      <c r="E26" s="111"/>
      <c r="F26" s="111"/>
      <c r="G26" s="123"/>
      <c r="H26" s="91"/>
    </row>
    <row r="27" spans="1:8" ht="13.2">
      <c r="A27" s="91"/>
      <c r="B27" s="107"/>
      <c r="C27" s="108"/>
      <c r="D27" s="108"/>
      <c r="E27" s="111"/>
      <c r="F27" s="111"/>
      <c r="G27" s="123"/>
      <c r="H27" s="91"/>
    </row>
    <row r="28" spans="1:8" ht="13.2">
      <c r="A28" s="91"/>
      <c r="B28" s="107"/>
      <c r="C28" s="108"/>
      <c r="D28" s="108"/>
      <c r="E28" s="111"/>
      <c r="F28" s="111"/>
      <c r="G28" s="123"/>
      <c r="H28" s="91"/>
    </row>
    <row r="29" spans="1:8" ht="13.2">
      <c r="A29" s="91"/>
      <c r="B29" s="107"/>
      <c r="C29" s="108"/>
      <c r="D29" s="108"/>
      <c r="E29" s="111"/>
      <c r="F29" s="111"/>
      <c r="G29" s="123"/>
      <c r="H29" s="91"/>
    </row>
    <row r="30" spans="1:8" ht="13.2">
      <c r="A30" s="91"/>
      <c r="B30" s="107"/>
      <c r="C30" s="108"/>
      <c r="D30" s="108"/>
      <c r="E30" s="111"/>
      <c r="F30" s="111"/>
      <c r="G30" s="123"/>
      <c r="H30" s="91"/>
    </row>
    <row r="31" spans="1:8" ht="13.2">
      <c r="A31" s="91"/>
      <c r="B31" s="107"/>
      <c r="C31" s="108"/>
      <c r="D31" s="108"/>
      <c r="E31" s="111"/>
      <c r="F31" s="111"/>
      <c r="G31" s="123"/>
      <c r="H31" s="91"/>
    </row>
    <row r="32" spans="1:8" ht="13.2">
      <c r="A32" s="91"/>
      <c r="B32" s="107"/>
      <c r="C32" s="108"/>
      <c r="D32" s="108"/>
      <c r="E32" s="111"/>
      <c r="F32" s="111"/>
      <c r="G32" s="123"/>
      <c r="H32" s="91"/>
    </row>
    <row r="33" spans="1:8" ht="13.2">
      <c r="A33" s="91"/>
      <c r="B33" s="107"/>
      <c r="C33" s="108"/>
      <c r="D33" s="108"/>
      <c r="E33" s="111"/>
      <c r="F33" s="111"/>
      <c r="G33" s="123"/>
      <c r="H33" s="91"/>
    </row>
    <row r="34" spans="1:8" ht="13.2">
      <c r="A34" s="91"/>
      <c r="B34" s="107"/>
      <c r="C34" s="108"/>
      <c r="D34" s="108"/>
      <c r="E34" s="111"/>
      <c r="F34" s="111"/>
      <c r="G34" s="123"/>
      <c r="H34" s="91"/>
    </row>
    <row r="35" spans="1:8" ht="13.2">
      <c r="A35" s="91"/>
      <c r="B35" s="107"/>
      <c r="C35" s="108"/>
      <c r="D35" s="108"/>
      <c r="E35" s="111"/>
      <c r="F35" s="111"/>
      <c r="G35" s="123"/>
      <c r="H35" s="91"/>
    </row>
    <row r="36" spans="1:8" ht="13.2">
      <c r="A36" s="91"/>
      <c r="B36" s="107"/>
      <c r="C36" s="108"/>
      <c r="D36" s="108"/>
      <c r="E36" s="111"/>
      <c r="F36" s="111"/>
      <c r="G36" s="123"/>
      <c r="H36" s="91"/>
    </row>
    <row r="37" spans="1:8" ht="13.2">
      <c r="A37" s="91"/>
      <c r="B37" s="107"/>
      <c r="C37" s="108"/>
      <c r="D37" s="108"/>
      <c r="E37" s="111"/>
      <c r="F37" s="111"/>
      <c r="G37" s="123"/>
      <c r="H37" s="91"/>
    </row>
    <row r="38" spans="1:8" ht="13.2">
      <c r="A38" s="91"/>
      <c r="B38" s="107"/>
      <c r="C38" s="108"/>
      <c r="D38" s="108"/>
      <c r="E38" s="111"/>
      <c r="F38" s="111"/>
      <c r="G38" s="123"/>
      <c r="H38" s="91"/>
    </row>
    <row r="39" spans="1:8" ht="13.2">
      <c r="A39" s="91"/>
      <c r="B39" s="107"/>
      <c r="C39" s="108"/>
      <c r="D39" s="108"/>
      <c r="E39" s="111"/>
      <c r="F39" s="111"/>
      <c r="G39" s="123"/>
      <c r="H39" s="91"/>
    </row>
    <row r="40" spans="1:8" ht="13.2">
      <c r="A40" s="91"/>
      <c r="B40" s="107"/>
      <c r="C40" s="108"/>
      <c r="D40" s="108"/>
      <c r="E40" s="111"/>
      <c r="F40" s="111"/>
      <c r="G40" s="123"/>
      <c r="H40" s="91"/>
    </row>
    <row r="41" spans="1:8" ht="13.2">
      <c r="A41" s="91"/>
      <c r="B41" s="107"/>
      <c r="C41" s="108"/>
      <c r="D41" s="108"/>
      <c r="E41" s="111"/>
      <c r="F41" s="111"/>
      <c r="G41" s="123"/>
      <c r="H41" s="91"/>
    </row>
    <row r="42" spans="1:8" ht="13.2">
      <c r="A42" s="91"/>
      <c r="B42" s="107"/>
      <c r="C42" s="108"/>
      <c r="D42" s="108"/>
      <c r="E42" s="111"/>
      <c r="F42" s="111"/>
      <c r="G42" s="123"/>
      <c r="H42" s="91"/>
    </row>
    <row r="43" spans="1:8" ht="13.2">
      <c r="A43" s="91"/>
      <c r="B43" s="107"/>
      <c r="C43" s="108"/>
      <c r="D43" s="108"/>
      <c r="E43" s="111"/>
      <c r="F43" s="111"/>
      <c r="G43" s="123"/>
      <c r="H43" s="91"/>
    </row>
    <row r="44" spans="1:8" ht="13.2">
      <c r="A44" s="91"/>
      <c r="B44" s="107"/>
      <c r="C44" s="108"/>
      <c r="D44" s="108"/>
      <c r="E44" s="111"/>
      <c r="F44" s="111"/>
      <c r="G44" s="123"/>
      <c r="H44" s="91"/>
    </row>
    <row r="45" spans="1:8" ht="13.2">
      <c r="A45" s="91"/>
      <c r="B45" s="107"/>
      <c r="C45" s="108"/>
      <c r="D45" s="108"/>
      <c r="E45" s="111"/>
      <c r="F45" s="111"/>
      <c r="G45" s="123"/>
      <c r="H45" s="91"/>
    </row>
    <row r="46" spans="1:8" ht="13.2">
      <c r="A46" s="91"/>
      <c r="B46" s="107"/>
      <c r="C46" s="108"/>
      <c r="D46" s="108"/>
      <c r="E46" s="111"/>
      <c r="F46" s="111"/>
      <c r="G46" s="123"/>
      <c r="H46" s="91"/>
    </row>
    <row r="47" spans="1:8" ht="13.2">
      <c r="A47" s="91"/>
      <c r="B47" s="107"/>
      <c r="C47" s="108"/>
      <c r="D47" s="108"/>
      <c r="E47" s="111"/>
      <c r="F47" s="111"/>
      <c r="G47" s="123"/>
      <c r="H47" s="91"/>
    </row>
    <row r="48" spans="1:8" ht="13.2">
      <c r="A48" s="91"/>
      <c r="B48" s="107"/>
      <c r="C48" s="108"/>
      <c r="D48" s="108"/>
      <c r="E48" s="111"/>
      <c r="F48" s="111"/>
      <c r="G48" s="123"/>
      <c r="H48" s="91"/>
    </row>
    <row r="49" spans="1:8" ht="13.2">
      <c r="A49" s="91"/>
      <c r="B49" s="107"/>
      <c r="C49" s="108"/>
      <c r="D49" s="108"/>
      <c r="E49" s="111"/>
      <c r="F49" s="111"/>
      <c r="G49" s="123"/>
      <c r="H49" s="91"/>
    </row>
    <row r="50" spans="1:8" ht="13.2">
      <c r="A50" s="91"/>
      <c r="B50" s="107"/>
      <c r="C50" s="108"/>
      <c r="D50" s="108"/>
      <c r="E50" s="111"/>
      <c r="F50" s="111"/>
      <c r="G50" s="123"/>
      <c r="H50" s="91"/>
    </row>
    <row r="51" spans="1:8" ht="13.2">
      <c r="A51" s="91"/>
      <c r="B51" s="107"/>
      <c r="C51" s="108"/>
      <c r="D51" s="108"/>
      <c r="E51" s="111"/>
      <c r="F51" s="111"/>
      <c r="G51" s="123"/>
      <c r="H51" s="91"/>
    </row>
    <row r="52" spans="1:8" ht="13.2">
      <c r="A52" s="91"/>
      <c r="B52" s="107"/>
      <c r="C52" s="108"/>
      <c r="D52" s="108"/>
      <c r="E52" s="111"/>
      <c r="F52" s="111"/>
      <c r="G52" s="123"/>
      <c r="H52" s="91"/>
    </row>
    <row r="53" spans="1:8" ht="13.2">
      <c r="A53" s="91"/>
      <c r="B53" s="107"/>
      <c r="C53" s="108"/>
      <c r="D53" s="108"/>
      <c r="E53" s="111"/>
      <c r="F53" s="111"/>
      <c r="G53" s="123"/>
      <c r="H53" s="91"/>
    </row>
    <row r="54" spans="1:8" ht="13.2">
      <c r="A54" s="91"/>
      <c r="B54" s="107"/>
      <c r="C54" s="108"/>
      <c r="D54" s="108"/>
      <c r="E54" s="111"/>
      <c r="F54" s="111"/>
      <c r="G54" s="123"/>
      <c r="H54" s="91"/>
    </row>
    <row r="55" spans="1:8" ht="13.2">
      <c r="A55" s="91"/>
      <c r="B55" s="107"/>
      <c r="C55" s="108"/>
      <c r="D55" s="108"/>
      <c r="E55" s="111"/>
      <c r="F55" s="111"/>
      <c r="G55" s="123"/>
      <c r="H55" s="91"/>
    </row>
    <row r="56" spans="1:8" ht="13.2">
      <c r="A56" s="91"/>
      <c r="B56" s="107"/>
      <c r="C56" s="108"/>
      <c r="D56" s="108"/>
      <c r="E56" s="111"/>
      <c r="F56" s="111"/>
      <c r="G56" s="123"/>
      <c r="H56" s="91"/>
    </row>
    <row r="57" spans="1:8" ht="13.2">
      <c r="A57" s="91"/>
      <c r="B57" s="107"/>
      <c r="C57" s="108"/>
      <c r="D57" s="108"/>
      <c r="E57" s="111"/>
      <c r="F57" s="111"/>
      <c r="G57" s="123"/>
      <c r="H57" s="91"/>
    </row>
    <row r="58" spans="1:8" ht="13.2">
      <c r="A58" s="91"/>
      <c r="B58" s="107"/>
      <c r="C58" s="108"/>
      <c r="D58" s="108"/>
      <c r="E58" s="111"/>
      <c r="F58" s="111"/>
      <c r="G58" s="123"/>
      <c r="H58" s="91"/>
    </row>
    <row r="59" spans="1:8" ht="13.2">
      <c r="A59" s="91"/>
      <c r="B59" s="107"/>
      <c r="C59" s="108"/>
      <c r="D59" s="108"/>
      <c r="E59" s="111"/>
      <c r="F59" s="111"/>
      <c r="G59" s="123"/>
      <c r="H59" s="91"/>
    </row>
    <row r="60" spans="1:8" ht="13.2">
      <c r="A60" s="91"/>
      <c r="B60" s="107"/>
      <c r="C60" s="108"/>
      <c r="D60" s="108"/>
      <c r="E60" s="111"/>
      <c r="F60" s="111"/>
      <c r="G60" s="123"/>
      <c r="H60" s="91"/>
    </row>
    <row r="61" spans="1:8" ht="13.2">
      <c r="A61" s="91"/>
      <c r="B61" s="107"/>
      <c r="C61" s="108"/>
      <c r="D61" s="108"/>
      <c r="E61" s="111"/>
      <c r="F61" s="111"/>
      <c r="G61" s="123"/>
      <c r="H61" s="91"/>
    </row>
    <row r="62" spans="1:8" ht="13.2">
      <c r="A62" s="91"/>
      <c r="B62" s="107"/>
      <c r="C62" s="108"/>
      <c r="D62" s="108"/>
      <c r="E62" s="111"/>
      <c r="F62" s="111"/>
      <c r="G62" s="123"/>
      <c r="H62" s="91"/>
    </row>
    <row r="63" spans="1:8" ht="13.2">
      <c r="A63" s="91"/>
      <c r="B63" s="107"/>
      <c r="C63" s="108"/>
      <c r="D63" s="108"/>
      <c r="E63" s="111"/>
      <c r="F63" s="111"/>
      <c r="G63" s="123"/>
      <c r="H63" s="91"/>
    </row>
    <row r="64" spans="1:8" ht="13.2">
      <c r="A64" s="91"/>
      <c r="B64" s="107"/>
      <c r="C64" s="108"/>
      <c r="D64" s="108"/>
      <c r="E64" s="111"/>
      <c r="F64" s="111"/>
      <c r="G64" s="123"/>
      <c r="H64" s="91"/>
    </row>
    <row r="65" spans="1:8" ht="13.2">
      <c r="A65" s="91"/>
      <c r="B65" s="107"/>
      <c r="C65" s="108"/>
      <c r="D65" s="108"/>
      <c r="E65" s="111"/>
      <c r="F65" s="111"/>
      <c r="G65" s="123"/>
      <c r="H65" s="91"/>
    </row>
    <row r="66" spans="1:8" ht="13.2">
      <c r="A66" s="91"/>
      <c r="B66" s="107"/>
      <c r="C66" s="108"/>
      <c r="D66" s="108"/>
      <c r="E66" s="111"/>
      <c r="F66" s="111"/>
      <c r="G66" s="123"/>
      <c r="H66" s="91"/>
    </row>
    <row r="67" spans="1:8" ht="13.2">
      <c r="A67" s="91"/>
      <c r="B67" s="107"/>
      <c r="C67" s="108"/>
      <c r="D67" s="108"/>
      <c r="E67" s="111"/>
      <c r="F67" s="111"/>
      <c r="G67" s="123"/>
      <c r="H67" s="91"/>
    </row>
    <row r="68" spans="1:8" ht="13.2">
      <c r="A68" s="91"/>
      <c r="B68" s="107"/>
      <c r="C68" s="108"/>
      <c r="D68" s="108"/>
      <c r="E68" s="111"/>
      <c r="F68" s="111"/>
      <c r="G68" s="123"/>
      <c r="H68" s="91"/>
    </row>
    <row r="69" spans="1:8" ht="13.2">
      <c r="A69" s="91"/>
      <c r="B69" s="107"/>
      <c r="C69" s="108"/>
      <c r="D69" s="108"/>
      <c r="E69" s="111"/>
      <c r="F69" s="111"/>
      <c r="G69" s="123"/>
      <c r="H69" s="91"/>
    </row>
    <row r="70" spans="1:8" ht="13.2">
      <c r="A70" s="91"/>
      <c r="B70" s="107"/>
      <c r="C70" s="108"/>
      <c r="D70" s="108"/>
      <c r="E70" s="111"/>
      <c r="F70" s="111"/>
      <c r="G70" s="123"/>
      <c r="H70" s="91"/>
    </row>
    <row r="71" spans="1:8" ht="13.2">
      <c r="A71" s="91"/>
      <c r="B71" s="107"/>
      <c r="C71" s="108"/>
      <c r="D71" s="108"/>
      <c r="E71" s="111"/>
      <c r="F71" s="111"/>
      <c r="G71" s="123"/>
      <c r="H71" s="91"/>
    </row>
    <row r="72" spans="1:8" ht="13.2">
      <c r="A72" s="91"/>
      <c r="B72" s="107"/>
      <c r="C72" s="108"/>
      <c r="D72" s="108"/>
      <c r="E72" s="111"/>
      <c r="F72" s="111"/>
      <c r="G72" s="123"/>
      <c r="H72" s="91"/>
    </row>
    <row r="73" spans="1:8" ht="13.2">
      <c r="A73" s="91"/>
      <c r="B73" s="107"/>
      <c r="C73" s="108"/>
      <c r="D73" s="108"/>
      <c r="E73" s="111"/>
      <c r="F73" s="111"/>
      <c r="G73" s="123"/>
      <c r="H73" s="91"/>
    </row>
    <row r="74" spans="1:8" ht="13.2">
      <c r="A74" s="91"/>
      <c r="B74" s="107"/>
      <c r="C74" s="108"/>
      <c r="D74" s="108"/>
      <c r="E74" s="111"/>
      <c r="F74" s="111"/>
      <c r="G74" s="123"/>
      <c r="H74" s="91"/>
    </row>
    <row r="75" spans="1:8" ht="13.2">
      <c r="A75" s="91"/>
      <c r="B75" s="107"/>
      <c r="C75" s="108"/>
      <c r="D75" s="108"/>
      <c r="E75" s="111"/>
      <c r="F75" s="111"/>
      <c r="G75" s="123"/>
      <c r="H75" s="91"/>
    </row>
    <row r="76" spans="1:8" ht="13.2">
      <c r="A76" s="91"/>
      <c r="B76" s="107"/>
      <c r="C76" s="108"/>
      <c r="D76" s="108"/>
      <c r="E76" s="111"/>
      <c r="F76" s="111"/>
      <c r="G76" s="123"/>
      <c r="H76" s="91"/>
    </row>
    <row r="77" spans="1:8" ht="13.2">
      <c r="A77" s="91"/>
      <c r="B77" s="107"/>
      <c r="C77" s="108"/>
      <c r="D77" s="108"/>
      <c r="E77" s="111"/>
      <c r="F77" s="111"/>
      <c r="G77" s="123"/>
      <c r="H77" s="91"/>
    </row>
    <row r="78" spans="1:8" ht="13.2">
      <c r="A78" s="91"/>
      <c r="B78" s="107"/>
      <c r="C78" s="108"/>
      <c r="D78" s="108"/>
      <c r="E78" s="111"/>
      <c r="F78" s="111"/>
      <c r="G78" s="123"/>
      <c r="H78" s="91"/>
    </row>
    <row r="79" spans="1:8" ht="13.2">
      <c r="A79" s="91"/>
      <c r="B79" s="107"/>
      <c r="C79" s="108"/>
      <c r="D79" s="108"/>
      <c r="E79" s="111"/>
      <c r="F79" s="111"/>
      <c r="G79" s="123"/>
      <c r="H79" s="91"/>
    </row>
    <row r="80" spans="1:8" ht="13.2">
      <c r="A80" s="91"/>
      <c r="B80" s="107"/>
      <c r="C80" s="108"/>
      <c r="D80" s="108"/>
      <c r="E80" s="111"/>
      <c r="F80" s="111"/>
      <c r="G80" s="123"/>
      <c r="H80" s="91"/>
    </row>
    <row r="81" spans="1:8" ht="13.2">
      <c r="A81" s="91"/>
      <c r="B81" s="107"/>
      <c r="C81" s="108"/>
      <c r="D81" s="108"/>
      <c r="E81" s="111"/>
      <c r="F81" s="111"/>
      <c r="G81" s="123"/>
      <c r="H81" s="91"/>
    </row>
    <row r="82" spans="1:8" ht="13.2">
      <c r="A82" s="91"/>
      <c r="B82" s="107"/>
      <c r="C82" s="108"/>
      <c r="D82" s="108"/>
      <c r="E82" s="111"/>
      <c r="F82" s="111"/>
      <c r="G82" s="123"/>
      <c r="H82" s="91"/>
    </row>
    <row r="83" spans="1:8" ht="13.2">
      <c r="A83" s="91"/>
      <c r="B83" s="107"/>
      <c r="C83" s="108"/>
      <c r="D83" s="108"/>
      <c r="E83" s="111"/>
      <c r="F83" s="111"/>
      <c r="G83" s="123"/>
      <c r="H83" s="91"/>
    </row>
    <row r="84" spans="1:8" ht="13.2">
      <c r="A84" s="91"/>
      <c r="B84" s="107"/>
      <c r="C84" s="108"/>
      <c r="D84" s="108"/>
      <c r="E84" s="111"/>
      <c r="F84" s="111"/>
      <c r="G84" s="123"/>
      <c r="H84" s="91"/>
    </row>
    <row r="85" spans="1:8" ht="13.2">
      <c r="A85" s="91"/>
      <c r="B85" s="107"/>
      <c r="C85" s="108"/>
      <c r="D85" s="108"/>
      <c r="E85" s="111"/>
      <c r="F85" s="111"/>
      <c r="G85" s="123"/>
      <c r="H85" s="91"/>
    </row>
    <row r="86" spans="1:8" ht="13.2">
      <c r="A86" s="91"/>
      <c r="B86" s="107"/>
      <c r="C86" s="108"/>
      <c r="D86" s="108"/>
      <c r="E86" s="111"/>
      <c r="F86" s="111"/>
      <c r="G86" s="123"/>
      <c r="H86" s="91"/>
    </row>
    <row r="87" spans="1:8" ht="13.2">
      <c r="A87" s="91"/>
      <c r="B87" s="107"/>
      <c r="C87" s="108"/>
      <c r="D87" s="108"/>
      <c r="E87" s="111"/>
      <c r="F87" s="111"/>
      <c r="G87" s="123"/>
      <c r="H87" s="91"/>
    </row>
    <row r="88" spans="1:8" ht="13.2">
      <c r="A88" s="91"/>
      <c r="B88" s="107"/>
      <c r="C88" s="108"/>
      <c r="D88" s="108"/>
      <c r="E88" s="111"/>
      <c r="F88" s="111"/>
      <c r="G88" s="123"/>
      <c r="H88" s="91"/>
    </row>
    <row r="89" spans="1:8" ht="13.2">
      <c r="A89" s="91"/>
      <c r="B89" s="107"/>
      <c r="C89" s="108"/>
      <c r="D89" s="108"/>
      <c r="E89" s="111"/>
      <c r="F89" s="111"/>
      <c r="G89" s="123"/>
      <c r="H89" s="91"/>
    </row>
    <row r="90" spans="1:8" ht="13.2">
      <c r="A90" s="91"/>
      <c r="B90" s="107"/>
      <c r="C90" s="108"/>
      <c r="D90" s="108"/>
      <c r="E90" s="111"/>
      <c r="F90" s="111"/>
      <c r="G90" s="123"/>
      <c r="H90" s="91"/>
    </row>
    <row r="91" spans="1:8" ht="13.2">
      <c r="A91" s="91"/>
      <c r="B91" s="107"/>
      <c r="C91" s="108"/>
      <c r="D91" s="108"/>
      <c r="E91" s="111"/>
      <c r="F91" s="111"/>
      <c r="G91" s="123"/>
      <c r="H91" s="91"/>
    </row>
    <row r="92" spans="1:8" ht="13.2">
      <c r="A92" s="91"/>
      <c r="B92" s="107"/>
      <c r="C92" s="108"/>
      <c r="D92" s="108"/>
      <c r="E92" s="111"/>
      <c r="F92" s="111"/>
      <c r="G92" s="123"/>
      <c r="H92" s="91"/>
    </row>
    <row r="93" spans="1:8" ht="13.2">
      <c r="A93" s="91"/>
      <c r="B93" s="107"/>
      <c r="C93" s="108"/>
      <c r="D93" s="108"/>
      <c r="E93" s="111"/>
      <c r="F93" s="111"/>
      <c r="G93" s="123"/>
      <c r="H93" s="91"/>
    </row>
    <row r="94" spans="1:8" ht="13.2">
      <c r="A94" s="91"/>
      <c r="B94" s="107"/>
      <c r="C94" s="108"/>
      <c r="D94" s="108"/>
      <c r="E94" s="111"/>
      <c r="F94" s="111"/>
      <c r="G94" s="123"/>
      <c r="H94" s="91"/>
    </row>
    <row r="95" spans="1:8" ht="13.2">
      <c r="A95" s="91"/>
      <c r="B95" s="107"/>
      <c r="C95" s="108"/>
      <c r="D95" s="108"/>
      <c r="E95" s="111"/>
      <c r="F95" s="111"/>
      <c r="G95" s="123"/>
      <c r="H95" s="91"/>
    </row>
    <row r="96" spans="1:8" ht="13.2">
      <c r="A96" s="91"/>
      <c r="B96" s="107"/>
      <c r="C96" s="108"/>
      <c r="D96" s="108"/>
      <c r="E96" s="111"/>
      <c r="F96" s="111"/>
      <c r="G96" s="123"/>
      <c r="H96" s="91"/>
    </row>
    <row r="97" spans="1:8" ht="13.2">
      <c r="A97" s="91"/>
      <c r="B97" s="107"/>
      <c r="C97" s="108"/>
      <c r="D97" s="108"/>
      <c r="E97" s="111"/>
      <c r="F97" s="111"/>
      <c r="G97" s="123"/>
      <c r="H97" s="91"/>
    </row>
    <row r="98" spans="1:8" ht="13.2">
      <c r="A98" s="91"/>
      <c r="B98" s="107"/>
      <c r="C98" s="108"/>
      <c r="D98" s="108"/>
      <c r="E98" s="111"/>
      <c r="F98" s="111"/>
      <c r="G98" s="123"/>
      <c r="H98" s="91"/>
    </row>
    <row r="99" spans="1:8" ht="13.2">
      <c r="A99" s="91"/>
      <c r="B99" s="107"/>
      <c r="C99" s="108"/>
      <c r="D99" s="108"/>
      <c r="E99" s="111"/>
      <c r="F99" s="111"/>
      <c r="G99" s="123"/>
      <c r="H99" s="91"/>
    </row>
    <row r="100" spans="1:8" ht="13.2">
      <c r="A100" s="91"/>
      <c r="B100" s="107"/>
      <c r="C100" s="108"/>
      <c r="D100" s="108"/>
      <c r="E100" s="111"/>
      <c r="F100" s="111"/>
      <c r="G100" s="123"/>
      <c r="H100" s="91"/>
    </row>
    <row r="101" spans="1:8" ht="13.2">
      <c r="A101" s="91"/>
      <c r="B101" s="107"/>
      <c r="C101" s="108"/>
      <c r="D101" s="108"/>
      <c r="E101" s="111"/>
      <c r="F101" s="111"/>
      <c r="G101" s="123"/>
      <c r="H101" s="91"/>
    </row>
    <row r="102" spans="1:8" ht="13.2">
      <c r="A102" s="91"/>
      <c r="B102" s="107"/>
      <c r="C102" s="108"/>
      <c r="D102" s="108"/>
      <c r="E102" s="111"/>
      <c r="F102" s="111"/>
      <c r="G102" s="123"/>
      <c r="H102" s="91"/>
    </row>
    <row r="103" spans="1:8" ht="13.2">
      <c r="A103" s="91"/>
      <c r="B103" s="107"/>
      <c r="C103" s="108"/>
      <c r="D103" s="108"/>
      <c r="E103" s="111"/>
      <c r="F103" s="111"/>
      <c r="G103" s="123"/>
      <c r="H103" s="91"/>
    </row>
    <row r="104" spans="1:8" ht="13.2">
      <c r="A104" s="91"/>
      <c r="B104" s="107"/>
      <c r="C104" s="108"/>
      <c r="D104" s="108"/>
      <c r="E104" s="111"/>
      <c r="F104" s="111"/>
      <c r="G104" s="123"/>
      <c r="H104" s="91"/>
    </row>
    <row r="105" spans="1:8" ht="13.2">
      <c r="A105" s="91"/>
      <c r="B105" s="107"/>
      <c r="C105" s="108"/>
      <c r="D105" s="108"/>
      <c r="E105" s="111"/>
      <c r="F105" s="111"/>
      <c r="G105" s="123"/>
      <c r="H105" s="91"/>
    </row>
    <row r="106" spans="1:8" ht="13.2">
      <c r="A106" s="91"/>
      <c r="B106" s="107"/>
      <c r="C106" s="108"/>
      <c r="D106" s="108"/>
      <c r="E106" s="111"/>
      <c r="F106" s="111"/>
      <c r="G106" s="123"/>
      <c r="H106" s="91"/>
    </row>
    <row r="107" spans="1:8" ht="13.2">
      <c r="A107" s="91"/>
      <c r="B107" s="116"/>
      <c r="C107" s="117"/>
      <c r="D107" s="117"/>
      <c r="E107" s="120"/>
      <c r="F107" s="120"/>
      <c r="G107" s="124"/>
      <c r="H107" s="91"/>
    </row>
    <row r="108" spans="1:8" ht="13.2">
      <c r="A108" s="91"/>
      <c r="B108" s="92"/>
      <c r="C108" s="92"/>
      <c r="D108" s="92"/>
      <c r="E108" s="92"/>
      <c r="F108" s="92"/>
      <c r="G108" s="92"/>
      <c r="H108" s="91"/>
    </row>
  </sheetData>
  <mergeCells count="1">
    <mergeCell ref="B2:G4"/>
  </mergeCells>
  <dataValidations count="1">
    <dataValidation type="list" allowBlank="1" showErrorMessage="1" sqref="G7:G107">
      <formula1>" In Transit , Delivered , Canceled 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'Inventory List'!$B$7:$B$107</xm:f>
          </x14:formula1>
          <xm:sqref>C7:C107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8"/>
  <sheetViews>
    <sheetView showGridLines="0" workbookViewId="0">
      <selection activeCell="B2" sqref="B2:G4"/>
    </sheetView>
  </sheetViews>
  <sheetFormatPr defaultColWidth="12.5546875" defaultRowHeight="15.75" customHeight="1"/>
  <cols>
    <col min="1" max="1" width="2.88671875" customWidth="1"/>
    <col min="2" max="7" width="19.44140625" customWidth="1"/>
    <col min="8" max="8" width="2.88671875" customWidth="1"/>
  </cols>
  <sheetData>
    <row r="1" spans="1:8" ht="13.2">
      <c r="A1" s="91"/>
      <c r="B1" s="92"/>
      <c r="C1" s="92"/>
      <c r="D1" s="92"/>
      <c r="E1" s="92"/>
      <c r="F1" s="92"/>
      <c r="G1" s="92"/>
      <c r="H1" s="91"/>
    </row>
    <row r="2" spans="1:8" ht="13.2">
      <c r="A2" s="91"/>
      <c r="B2" s="194" t="s">
        <v>96</v>
      </c>
      <c r="C2" s="163"/>
      <c r="D2" s="163"/>
      <c r="E2" s="163"/>
      <c r="F2" s="163"/>
      <c r="G2" s="195"/>
      <c r="H2" s="91"/>
    </row>
    <row r="3" spans="1:8" ht="13.2">
      <c r="A3" s="91"/>
      <c r="B3" s="181"/>
      <c r="C3" s="155"/>
      <c r="D3" s="155"/>
      <c r="E3" s="155"/>
      <c r="F3" s="155"/>
      <c r="G3" s="196"/>
      <c r="H3" s="91"/>
    </row>
    <row r="4" spans="1:8" ht="13.2">
      <c r="A4" s="91"/>
      <c r="B4" s="181"/>
      <c r="C4" s="155"/>
      <c r="D4" s="155"/>
      <c r="E4" s="155"/>
      <c r="F4" s="155"/>
      <c r="G4" s="196"/>
      <c r="H4" s="91"/>
    </row>
    <row r="5" spans="1:8" ht="6" customHeight="1">
      <c r="A5" s="91"/>
      <c r="B5" s="93"/>
      <c r="C5" s="94"/>
      <c r="D5" s="94"/>
      <c r="E5" s="94"/>
      <c r="F5" s="94"/>
      <c r="G5" s="95"/>
      <c r="H5" s="91"/>
    </row>
    <row r="6" spans="1:8" ht="21" customHeight="1">
      <c r="A6" s="96"/>
      <c r="B6" s="97" t="s">
        <v>86</v>
      </c>
      <c r="C6" s="98" t="s">
        <v>18</v>
      </c>
      <c r="D6" s="98" t="s">
        <v>87</v>
      </c>
      <c r="E6" s="98" t="s">
        <v>88</v>
      </c>
      <c r="F6" s="98" t="s">
        <v>24</v>
      </c>
      <c r="G6" s="99" t="s">
        <v>89</v>
      </c>
      <c r="H6" s="96"/>
    </row>
    <row r="7" spans="1:8" ht="13.2">
      <c r="A7" s="91"/>
      <c r="B7" s="100" t="s">
        <v>90</v>
      </c>
      <c r="C7" s="101" t="s">
        <v>33</v>
      </c>
      <c r="D7" s="101">
        <v>100</v>
      </c>
      <c r="E7" s="105">
        <v>45092</v>
      </c>
      <c r="F7" s="105">
        <v>45108</v>
      </c>
      <c r="G7" s="122" t="s">
        <v>91</v>
      </c>
      <c r="H7" s="91"/>
    </row>
    <row r="8" spans="1:8" ht="13.2">
      <c r="A8" s="91"/>
      <c r="B8" s="107" t="s">
        <v>92</v>
      </c>
      <c r="C8" s="108" t="s">
        <v>37</v>
      </c>
      <c r="D8" s="108">
        <v>200</v>
      </c>
      <c r="E8" s="111">
        <v>45078</v>
      </c>
      <c r="F8" s="111">
        <v>45095</v>
      </c>
      <c r="G8" s="123" t="s">
        <v>93</v>
      </c>
      <c r="H8" s="91"/>
    </row>
    <row r="9" spans="1:8" ht="13.2">
      <c r="A9" s="91"/>
      <c r="B9" s="107" t="s">
        <v>94</v>
      </c>
      <c r="C9" s="108" t="s">
        <v>41</v>
      </c>
      <c r="D9" s="108">
        <v>250</v>
      </c>
      <c r="E9" s="111">
        <v>45117</v>
      </c>
      <c r="F9" s="111">
        <v>45131</v>
      </c>
      <c r="G9" s="123" t="s">
        <v>91</v>
      </c>
      <c r="H9" s="91"/>
    </row>
    <row r="10" spans="1:8" ht="13.2">
      <c r="A10" s="91"/>
      <c r="B10" s="107" t="s">
        <v>95</v>
      </c>
      <c r="C10" s="108" t="s">
        <v>45</v>
      </c>
      <c r="D10" s="108">
        <v>150</v>
      </c>
      <c r="E10" s="111">
        <v>45066</v>
      </c>
      <c r="F10" s="111">
        <v>45082</v>
      </c>
      <c r="G10" s="123" t="s">
        <v>93</v>
      </c>
      <c r="H10" s="91"/>
    </row>
    <row r="11" spans="1:8" ht="13.2">
      <c r="A11" s="91"/>
      <c r="B11" s="107"/>
      <c r="C11" s="108"/>
      <c r="D11" s="108"/>
      <c r="E11" s="111"/>
      <c r="F11" s="111"/>
      <c r="G11" s="123"/>
      <c r="H11" s="91"/>
    </row>
    <row r="12" spans="1:8" ht="13.2">
      <c r="A12" s="91"/>
      <c r="B12" s="107"/>
      <c r="C12" s="108"/>
      <c r="D12" s="108"/>
      <c r="E12" s="111"/>
      <c r="F12" s="111"/>
      <c r="G12" s="123"/>
      <c r="H12" s="91"/>
    </row>
    <row r="13" spans="1:8" ht="13.2">
      <c r="A13" s="91"/>
      <c r="B13" s="107"/>
      <c r="C13" s="108"/>
      <c r="D13" s="108"/>
      <c r="E13" s="111"/>
      <c r="F13" s="111"/>
      <c r="G13" s="123"/>
      <c r="H13" s="91"/>
    </row>
    <row r="14" spans="1:8" ht="13.2">
      <c r="A14" s="91"/>
      <c r="B14" s="107"/>
      <c r="C14" s="108"/>
      <c r="D14" s="108"/>
      <c r="E14" s="111"/>
      <c r="F14" s="111"/>
      <c r="G14" s="123"/>
      <c r="H14" s="91"/>
    </row>
    <row r="15" spans="1:8" ht="13.2">
      <c r="A15" s="91"/>
      <c r="B15" s="107"/>
      <c r="C15" s="108"/>
      <c r="D15" s="108"/>
      <c r="E15" s="111"/>
      <c r="F15" s="111"/>
      <c r="G15" s="123"/>
      <c r="H15" s="91"/>
    </row>
    <row r="16" spans="1:8" ht="13.2">
      <c r="A16" s="91"/>
      <c r="B16" s="107"/>
      <c r="C16" s="108"/>
      <c r="D16" s="108"/>
      <c r="E16" s="111"/>
      <c r="F16" s="111"/>
      <c r="G16" s="123"/>
      <c r="H16" s="91"/>
    </row>
    <row r="17" spans="1:8" ht="13.2">
      <c r="A17" s="91"/>
      <c r="B17" s="107"/>
      <c r="C17" s="108"/>
      <c r="D17" s="108"/>
      <c r="E17" s="111"/>
      <c r="F17" s="111"/>
      <c r="G17" s="123"/>
      <c r="H17" s="91"/>
    </row>
    <row r="18" spans="1:8" ht="13.2">
      <c r="A18" s="91"/>
      <c r="B18" s="107"/>
      <c r="C18" s="108"/>
      <c r="D18" s="108"/>
      <c r="E18" s="111"/>
      <c r="F18" s="111"/>
      <c r="G18" s="123"/>
      <c r="H18" s="91"/>
    </row>
    <row r="19" spans="1:8" ht="13.2">
      <c r="A19" s="91"/>
      <c r="B19" s="107"/>
      <c r="C19" s="108"/>
      <c r="D19" s="108"/>
      <c r="E19" s="111"/>
      <c r="F19" s="111"/>
      <c r="G19" s="123"/>
      <c r="H19" s="91"/>
    </row>
    <row r="20" spans="1:8" ht="13.2">
      <c r="A20" s="91"/>
      <c r="B20" s="107"/>
      <c r="C20" s="108"/>
      <c r="D20" s="108"/>
      <c r="E20" s="111"/>
      <c r="F20" s="111"/>
      <c r="G20" s="123"/>
      <c r="H20" s="91"/>
    </row>
    <row r="21" spans="1:8" ht="13.2">
      <c r="A21" s="91"/>
      <c r="B21" s="107"/>
      <c r="C21" s="108"/>
      <c r="D21" s="108"/>
      <c r="E21" s="111"/>
      <c r="F21" s="111"/>
      <c r="G21" s="123"/>
      <c r="H21" s="91"/>
    </row>
    <row r="22" spans="1:8" ht="13.2">
      <c r="A22" s="91"/>
      <c r="B22" s="107"/>
      <c r="C22" s="108"/>
      <c r="D22" s="108"/>
      <c r="E22" s="111"/>
      <c r="F22" s="111"/>
      <c r="G22" s="123"/>
      <c r="H22" s="91"/>
    </row>
    <row r="23" spans="1:8" ht="13.2">
      <c r="A23" s="91"/>
      <c r="B23" s="107"/>
      <c r="C23" s="108"/>
      <c r="D23" s="108"/>
      <c r="E23" s="111"/>
      <c r="F23" s="111"/>
      <c r="G23" s="123"/>
      <c r="H23" s="91"/>
    </row>
    <row r="24" spans="1:8" ht="13.2">
      <c r="A24" s="91"/>
      <c r="B24" s="107"/>
      <c r="C24" s="108"/>
      <c r="D24" s="108"/>
      <c r="E24" s="111"/>
      <c r="F24" s="111"/>
      <c r="G24" s="123"/>
      <c r="H24" s="91"/>
    </row>
    <row r="25" spans="1:8" ht="13.2">
      <c r="A25" s="91"/>
      <c r="B25" s="107"/>
      <c r="C25" s="108"/>
      <c r="D25" s="108"/>
      <c r="E25" s="111"/>
      <c r="F25" s="111"/>
      <c r="G25" s="123"/>
      <c r="H25" s="91"/>
    </row>
    <row r="26" spans="1:8" ht="13.2">
      <c r="A26" s="91"/>
      <c r="B26" s="107"/>
      <c r="C26" s="108"/>
      <c r="D26" s="108"/>
      <c r="E26" s="111"/>
      <c r="F26" s="111"/>
      <c r="G26" s="123"/>
      <c r="H26" s="91"/>
    </row>
    <row r="27" spans="1:8" ht="13.2">
      <c r="A27" s="91"/>
      <c r="B27" s="107"/>
      <c r="C27" s="108"/>
      <c r="D27" s="108"/>
      <c r="E27" s="111"/>
      <c r="F27" s="111"/>
      <c r="G27" s="123"/>
      <c r="H27" s="91"/>
    </row>
    <row r="28" spans="1:8" ht="13.2">
      <c r="A28" s="91"/>
      <c r="B28" s="107"/>
      <c r="C28" s="108"/>
      <c r="D28" s="108"/>
      <c r="E28" s="111"/>
      <c r="F28" s="111"/>
      <c r="G28" s="123"/>
      <c r="H28" s="91"/>
    </row>
    <row r="29" spans="1:8" ht="13.2">
      <c r="A29" s="91"/>
      <c r="B29" s="107"/>
      <c r="C29" s="108"/>
      <c r="D29" s="108"/>
      <c r="E29" s="111"/>
      <c r="F29" s="111"/>
      <c r="G29" s="123"/>
      <c r="H29" s="91"/>
    </row>
    <row r="30" spans="1:8" ht="13.2">
      <c r="A30" s="91"/>
      <c r="B30" s="107"/>
      <c r="C30" s="108"/>
      <c r="D30" s="108"/>
      <c r="E30" s="111"/>
      <c r="F30" s="111"/>
      <c r="G30" s="123"/>
      <c r="H30" s="91"/>
    </row>
    <row r="31" spans="1:8" ht="13.2">
      <c r="A31" s="91"/>
      <c r="B31" s="107"/>
      <c r="C31" s="108"/>
      <c r="D31" s="108"/>
      <c r="E31" s="111"/>
      <c r="F31" s="111"/>
      <c r="G31" s="123"/>
      <c r="H31" s="91"/>
    </row>
    <row r="32" spans="1:8" ht="13.2">
      <c r="A32" s="91"/>
      <c r="B32" s="107"/>
      <c r="C32" s="108"/>
      <c r="D32" s="108"/>
      <c r="E32" s="111"/>
      <c r="F32" s="111"/>
      <c r="G32" s="123"/>
      <c r="H32" s="91"/>
    </row>
    <row r="33" spans="1:8" ht="13.2">
      <c r="A33" s="91"/>
      <c r="B33" s="107"/>
      <c r="C33" s="108"/>
      <c r="D33" s="108"/>
      <c r="E33" s="111"/>
      <c r="F33" s="111"/>
      <c r="G33" s="123"/>
      <c r="H33" s="91"/>
    </row>
    <row r="34" spans="1:8" ht="13.2">
      <c r="A34" s="91"/>
      <c r="B34" s="107"/>
      <c r="C34" s="108"/>
      <c r="D34" s="108"/>
      <c r="E34" s="111"/>
      <c r="F34" s="111"/>
      <c r="G34" s="123"/>
      <c r="H34" s="91"/>
    </row>
    <row r="35" spans="1:8" ht="13.2">
      <c r="A35" s="91"/>
      <c r="B35" s="107"/>
      <c r="C35" s="108"/>
      <c r="D35" s="108"/>
      <c r="E35" s="111"/>
      <c r="F35" s="111"/>
      <c r="G35" s="123"/>
      <c r="H35" s="91"/>
    </row>
    <row r="36" spans="1:8" ht="13.2">
      <c r="A36" s="91"/>
      <c r="B36" s="107"/>
      <c r="C36" s="108"/>
      <c r="D36" s="108"/>
      <c r="E36" s="111"/>
      <c r="F36" s="111"/>
      <c r="G36" s="123"/>
      <c r="H36" s="91"/>
    </row>
    <row r="37" spans="1:8" ht="13.2">
      <c r="A37" s="91"/>
      <c r="B37" s="107"/>
      <c r="C37" s="108"/>
      <c r="D37" s="108"/>
      <c r="E37" s="111"/>
      <c r="F37" s="111"/>
      <c r="G37" s="123"/>
      <c r="H37" s="91"/>
    </row>
    <row r="38" spans="1:8" ht="13.2">
      <c r="A38" s="91"/>
      <c r="B38" s="107"/>
      <c r="C38" s="108"/>
      <c r="D38" s="108"/>
      <c r="E38" s="111"/>
      <c r="F38" s="111"/>
      <c r="G38" s="123"/>
      <c r="H38" s="91"/>
    </row>
    <row r="39" spans="1:8" ht="13.2">
      <c r="A39" s="91"/>
      <c r="B39" s="107"/>
      <c r="C39" s="108"/>
      <c r="D39" s="108"/>
      <c r="E39" s="111"/>
      <c r="F39" s="111"/>
      <c r="G39" s="123"/>
      <c r="H39" s="91"/>
    </row>
    <row r="40" spans="1:8" ht="13.2">
      <c r="A40" s="91"/>
      <c r="B40" s="107"/>
      <c r="C40" s="108"/>
      <c r="D40" s="108"/>
      <c r="E40" s="111"/>
      <c r="F40" s="111"/>
      <c r="G40" s="123"/>
      <c r="H40" s="91"/>
    </row>
    <row r="41" spans="1:8" ht="13.2">
      <c r="A41" s="91"/>
      <c r="B41" s="107"/>
      <c r="C41" s="108"/>
      <c r="D41" s="108"/>
      <c r="E41" s="111"/>
      <c r="F41" s="111"/>
      <c r="G41" s="123"/>
      <c r="H41" s="91"/>
    </row>
    <row r="42" spans="1:8" ht="13.2">
      <c r="A42" s="91"/>
      <c r="B42" s="107"/>
      <c r="C42" s="108"/>
      <c r="D42" s="108"/>
      <c r="E42" s="111"/>
      <c r="F42" s="111"/>
      <c r="G42" s="123"/>
      <c r="H42" s="91"/>
    </row>
    <row r="43" spans="1:8" ht="13.2">
      <c r="A43" s="91"/>
      <c r="B43" s="107"/>
      <c r="C43" s="108"/>
      <c r="D43" s="108"/>
      <c r="E43" s="111"/>
      <c r="F43" s="111"/>
      <c r="G43" s="123"/>
      <c r="H43" s="91"/>
    </row>
    <row r="44" spans="1:8" ht="13.2">
      <c r="A44" s="91"/>
      <c r="B44" s="107"/>
      <c r="C44" s="108"/>
      <c r="D44" s="108"/>
      <c r="E44" s="111"/>
      <c r="F44" s="111"/>
      <c r="G44" s="123"/>
      <c r="H44" s="91"/>
    </row>
    <row r="45" spans="1:8" ht="13.2">
      <c r="A45" s="91"/>
      <c r="B45" s="107"/>
      <c r="C45" s="108"/>
      <c r="D45" s="108"/>
      <c r="E45" s="111"/>
      <c r="F45" s="111"/>
      <c r="G45" s="123"/>
      <c r="H45" s="91"/>
    </row>
    <row r="46" spans="1:8" ht="13.2">
      <c r="A46" s="91"/>
      <c r="B46" s="107"/>
      <c r="C46" s="108"/>
      <c r="D46" s="108"/>
      <c r="E46" s="111"/>
      <c r="F46" s="111"/>
      <c r="G46" s="123"/>
      <c r="H46" s="91"/>
    </row>
    <row r="47" spans="1:8" ht="13.2">
      <c r="A47" s="91"/>
      <c r="B47" s="107"/>
      <c r="C47" s="108"/>
      <c r="D47" s="108"/>
      <c r="E47" s="111"/>
      <c r="F47" s="111"/>
      <c r="G47" s="123"/>
      <c r="H47" s="91"/>
    </row>
    <row r="48" spans="1:8" ht="13.2">
      <c r="A48" s="91"/>
      <c r="B48" s="107"/>
      <c r="C48" s="108"/>
      <c r="D48" s="108"/>
      <c r="E48" s="111"/>
      <c r="F48" s="111"/>
      <c r="G48" s="123"/>
      <c r="H48" s="91"/>
    </row>
    <row r="49" spans="1:8" ht="13.2">
      <c r="A49" s="91"/>
      <c r="B49" s="107"/>
      <c r="C49" s="108"/>
      <c r="D49" s="108"/>
      <c r="E49" s="111"/>
      <c r="F49" s="111"/>
      <c r="G49" s="123"/>
      <c r="H49" s="91"/>
    </row>
    <row r="50" spans="1:8" ht="13.2">
      <c r="A50" s="91"/>
      <c r="B50" s="107"/>
      <c r="C50" s="108"/>
      <c r="D50" s="108"/>
      <c r="E50" s="111"/>
      <c r="F50" s="111"/>
      <c r="G50" s="123"/>
      <c r="H50" s="91"/>
    </row>
    <row r="51" spans="1:8" ht="13.2">
      <c r="A51" s="91"/>
      <c r="B51" s="107"/>
      <c r="C51" s="108"/>
      <c r="D51" s="108"/>
      <c r="E51" s="111"/>
      <c r="F51" s="111"/>
      <c r="G51" s="123"/>
      <c r="H51" s="91"/>
    </row>
    <row r="52" spans="1:8" ht="13.2">
      <c r="A52" s="91"/>
      <c r="B52" s="107"/>
      <c r="C52" s="108"/>
      <c r="D52" s="108"/>
      <c r="E52" s="111"/>
      <c r="F52" s="111"/>
      <c r="G52" s="123"/>
      <c r="H52" s="91"/>
    </row>
    <row r="53" spans="1:8" ht="13.2">
      <c r="A53" s="91"/>
      <c r="B53" s="107"/>
      <c r="C53" s="108"/>
      <c r="D53" s="108"/>
      <c r="E53" s="111"/>
      <c r="F53" s="111"/>
      <c r="G53" s="123"/>
      <c r="H53" s="91"/>
    </row>
    <row r="54" spans="1:8" ht="13.2">
      <c r="A54" s="91"/>
      <c r="B54" s="107"/>
      <c r="C54" s="108"/>
      <c r="D54" s="108"/>
      <c r="E54" s="111"/>
      <c r="F54" s="111"/>
      <c r="G54" s="123"/>
      <c r="H54" s="91"/>
    </row>
    <row r="55" spans="1:8" ht="13.2">
      <c r="A55" s="91"/>
      <c r="B55" s="107"/>
      <c r="C55" s="108"/>
      <c r="D55" s="108"/>
      <c r="E55" s="111"/>
      <c r="F55" s="111"/>
      <c r="G55" s="123"/>
      <c r="H55" s="91"/>
    </row>
    <row r="56" spans="1:8" ht="13.2">
      <c r="A56" s="91"/>
      <c r="B56" s="107"/>
      <c r="C56" s="108"/>
      <c r="D56" s="108"/>
      <c r="E56" s="111"/>
      <c r="F56" s="111"/>
      <c r="G56" s="123"/>
      <c r="H56" s="91"/>
    </row>
    <row r="57" spans="1:8" ht="13.2">
      <c r="A57" s="91"/>
      <c r="B57" s="107"/>
      <c r="C57" s="108"/>
      <c r="D57" s="108"/>
      <c r="E57" s="111"/>
      <c r="F57" s="111"/>
      <c r="G57" s="123"/>
      <c r="H57" s="91"/>
    </row>
    <row r="58" spans="1:8" ht="13.2">
      <c r="A58" s="91"/>
      <c r="B58" s="107"/>
      <c r="C58" s="108"/>
      <c r="D58" s="108"/>
      <c r="E58" s="111"/>
      <c r="F58" s="111"/>
      <c r="G58" s="123"/>
      <c r="H58" s="91"/>
    </row>
    <row r="59" spans="1:8" ht="13.2">
      <c r="A59" s="91"/>
      <c r="B59" s="107"/>
      <c r="C59" s="108"/>
      <c r="D59" s="108"/>
      <c r="E59" s="111"/>
      <c r="F59" s="111"/>
      <c r="G59" s="123"/>
      <c r="H59" s="91"/>
    </row>
    <row r="60" spans="1:8" ht="13.2">
      <c r="A60" s="91"/>
      <c r="B60" s="107"/>
      <c r="C60" s="108"/>
      <c r="D60" s="108"/>
      <c r="E60" s="111"/>
      <c r="F60" s="111"/>
      <c r="G60" s="123"/>
      <c r="H60" s="91"/>
    </row>
    <row r="61" spans="1:8" ht="13.2">
      <c r="A61" s="91"/>
      <c r="B61" s="107"/>
      <c r="C61" s="108"/>
      <c r="D61" s="108"/>
      <c r="E61" s="111"/>
      <c r="F61" s="111"/>
      <c r="G61" s="123"/>
      <c r="H61" s="91"/>
    </row>
    <row r="62" spans="1:8" ht="13.2">
      <c r="A62" s="91"/>
      <c r="B62" s="107"/>
      <c r="C62" s="108"/>
      <c r="D62" s="108"/>
      <c r="E62" s="111"/>
      <c r="F62" s="111"/>
      <c r="G62" s="123"/>
      <c r="H62" s="91"/>
    </row>
    <row r="63" spans="1:8" ht="13.2">
      <c r="A63" s="91"/>
      <c r="B63" s="107"/>
      <c r="C63" s="108"/>
      <c r="D63" s="108"/>
      <c r="E63" s="111"/>
      <c r="F63" s="111"/>
      <c r="G63" s="123"/>
      <c r="H63" s="91"/>
    </row>
    <row r="64" spans="1:8" ht="13.2">
      <c r="A64" s="91"/>
      <c r="B64" s="107"/>
      <c r="C64" s="108"/>
      <c r="D64" s="108"/>
      <c r="E64" s="111"/>
      <c r="F64" s="111"/>
      <c r="G64" s="123"/>
      <c r="H64" s="91"/>
    </row>
    <row r="65" spans="1:8" ht="13.2">
      <c r="A65" s="91"/>
      <c r="B65" s="107"/>
      <c r="C65" s="108"/>
      <c r="D65" s="108"/>
      <c r="E65" s="111"/>
      <c r="F65" s="111"/>
      <c r="G65" s="123"/>
      <c r="H65" s="91"/>
    </row>
    <row r="66" spans="1:8" ht="13.2">
      <c r="A66" s="91"/>
      <c r="B66" s="107"/>
      <c r="C66" s="108"/>
      <c r="D66" s="108"/>
      <c r="E66" s="111"/>
      <c r="F66" s="111"/>
      <c r="G66" s="123"/>
      <c r="H66" s="91"/>
    </row>
    <row r="67" spans="1:8" ht="13.2">
      <c r="A67" s="91"/>
      <c r="B67" s="107"/>
      <c r="C67" s="108"/>
      <c r="D67" s="108"/>
      <c r="E67" s="111"/>
      <c r="F67" s="111"/>
      <c r="G67" s="123"/>
      <c r="H67" s="91"/>
    </row>
    <row r="68" spans="1:8" ht="13.2">
      <c r="A68" s="91"/>
      <c r="B68" s="107"/>
      <c r="C68" s="108"/>
      <c r="D68" s="108"/>
      <c r="E68" s="111"/>
      <c r="F68" s="111"/>
      <c r="G68" s="123"/>
      <c r="H68" s="91"/>
    </row>
    <row r="69" spans="1:8" ht="13.2">
      <c r="A69" s="91"/>
      <c r="B69" s="107"/>
      <c r="C69" s="108"/>
      <c r="D69" s="108"/>
      <c r="E69" s="111"/>
      <c r="F69" s="111"/>
      <c r="G69" s="123"/>
      <c r="H69" s="91"/>
    </row>
    <row r="70" spans="1:8" ht="13.2">
      <c r="A70" s="91"/>
      <c r="B70" s="107"/>
      <c r="C70" s="108"/>
      <c r="D70" s="108"/>
      <c r="E70" s="111"/>
      <c r="F70" s="111"/>
      <c r="G70" s="123"/>
      <c r="H70" s="91"/>
    </row>
    <row r="71" spans="1:8" ht="13.2">
      <c r="A71" s="91"/>
      <c r="B71" s="107"/>
      <c r="C71" s="108"/>
      <c r="D71" s="108"/>
      <c r="E71" s="111"/>
      <c r="F71" s="111"/>
      <c r="G71" s="123"/>
      <c r="H71" s="91"/>
    </row>
    <row r="72" spans="1:8" ht="13.2">
      <c r="A72" s="91"/>
      <c r="B72" s="107"/>
      <c r="C72" s="108"/>
      <c r="D72" s="108"/>
      <c r="E72" s="111"/>
      <c r="F72" s="111"/>
      <c r="G72" s="123"/>
      <c r="H72" s="91"/>
    </row>
    <row r="73" spans="1:8" ht="13.2">
      <c r="A73" s="91"/>
      <c r="B73" s="107"/>
      <c r="C73" s="108"/>
      <c r="D73" s="108"/>
      <c r="E73" s="111"/>
      <c r="F73" s="111"/>
      <c r="G73" s="123"/>
      <c r="H73" s="91"/>
    </row>
    <row r="74" spans="1:8" ht="13.2">
      <c r="A74" s="91"/>
      <c r="B74" s="107"/>
      <c r="C74" s="108"/>
      <c r="D74" s="108"/>
      <c r="E74" s="111"/>
      <c r="F74" s="111"/>
      <c r="G74" s="123"/>
      <c r="H74" s="91"/>
    </row>
    <row r="75" spans="1:8" ht="13.2">
      <c r="A75" s="91"/>
      <c r="B75" s="107"/>
      <c r="C75" s="108"/>
      <c r="D75" s="108"/>
      <c r="E75" s="111"/>
      <c r="F75" s="111"/>
      <c r="G75" s="123"/>
      <c r="H75" s="91"/>
    </row>
    <row r="76" spans="1:8" ht="13.2">
      <c r="A76" s="91"/>
      <c r="B76" s="107"/>
      <c r="C76" s="108"/>
      <c r="D76" s="108"/>
      <c r="E76" s="111"/>
      <c r="F76" s="111"/>
      <c r="G76" s="123"/>
      <c r="H76" s="91"/>
    </row>
    <row r="77" spans="1:8" ht="13.2">
      <c r="A77" s="91"/>
      <c r="B77" s="107"/>
      <c r="C77" s="108"/>
      <c r="D77" s="108"/>
      <c r="E77" s="111"/>
      <c r="F77" s="111"/>
      <c r="G77" s="123"/>
      <c r="H77" s="91"/>
    </row>
    <row r="78" spans="1:8" ht="13.2">
      <c r="A78" s="91"/>
      <c r="B78" s="107"/>
      <c r="C78" s="108"/>
      <c r="D78" s="108"/>
      <c r="E78" s="111"/>
      <c r="F78" s="111"/>
      <c r="G78" s="123"/>
      <c r="H78" s="91"/>
    </row>
    <row r="79" spans="1:8" ht="13.2">
      <c r="A79" s="91"/>
      <c r="B79" s="107"/>
      <c r="C79" s="108"/>
      <c r="D79" s="108"/>
      <c r="E79" s="111"/>
      <c r="F79" s="111"/>
      <c r="G79" s="123"/>
      <c r="H79" s="91"/>
    </row>
    <row r="80" spans="1:8" ht="13.2">
      <c r="A80" s="91"/>
      <c r="B80" s="107"/>
      <c r="C80" s="108"/>
      <c r="D80" s="108"/>
      <c r="E80" s="111"/>
      <c r="F80" s="111"/>
      <c r="G80" s="123"/>
      <c r="H80" s="91"/>
    </row>
    <row r="81" spans="1:8" ht="13.2">
      <c r="A81" s="91"/>
      <c r="B81" s="107"/>
      <c r="C81" s="108"/>
      <c r="D81" s="108"/>
      <c r="E81" s="111"/>
      <c r="F81" s="111"/>
      <c r="G81" s="123"/>
      <c r="H81" s="91"/>
    </row>
    <row r="82" spans="1:8" ht="13.2">
      <c r="A82" s="91"/>
      <c r="B82" s="107"/>
      <c r="C82" s="108"/>
      <c r="D82" s="108"/>
      <c r="E82" s="111"/>
      <c r="F82" s="111"/>
      <c r="G82" s="123"/>
      <c r="H82" s="91"/>
    </row>
    <row r="83" spans="1:8" ht="13.2">
      <c r="A83" s="91"/>
      <c r="B83" s="107"/>
      <c r="C83" s="108"/>
      <c r="D83" s="108"/>
      <c r="E83" s="111"/>
      <c r="F83" s="111"/>
      <c r="G83" s="123"/>
      <c r="H83" s="91"/>
    </row>
    <row r="84" spans="1:8" ht="13.2">
      <c r="A84" s="91"/>
      <c r="B84" s="107"/>
      <c r="C84" s="108"/>
      <c r="D84" s="108"/>
      <c r="E84" s="111"/>
      <c r="F84" s="111"/>
      <c r="G84" s="123"/>
      <c r="H84" s="91"/>
    </row>
    <row r="85" spans="1:8" ht="13.2">
      <c r="A85" s="91"/>
      <c r="B85" s="107"/>
      <c r="C85" s="108"/>
      <c r="D85" s="108"/>
      <c r="E85" s="111"/>
      <c r="F85" s="111"/>
      <c r="G85" s="123"/>
      <c r="H85" s="91"/>
    </row>
    <row r="86" spans="1:8" ht="13.2">
      <c r="A86" s="91"/>
      <c r="B86" s="107"/>
      <c r="C86" s="108"/>
      <c r="D86" s="108"/>
      <c r="E86" s="111"/>
      <c r="F86" s="111"/>
      <c r="G86" s="123"/>
      <c r="H86" s="91"/>
    </row>
    <row r="87" spans="1:8" ht="13.2">
      <c r="A87" s="91"/>
      <c r="B87" s="107"/>
      <c r="C87" s="108"/>
      <c r="D87" s="108"/>
      <c r="E87" s="111"/>
      <c r="F87" s="111"/>
      <c r="G87" s="123"/>
      <c r="H87" s="91"/>
    </row>
    <row r="88" spans="1:8" ht="13.2">
      <c r="A88" s="91"/>
      <c r="B88" s="107"/>
      <c r="C88" s="108"/>
      <c r="D88" s="108"/>
      <c r="E88" s="111"/>
      <c r="F88" s="111"/>
      <c r="G88" s="123"/>
      <c r="H88" s="91"/>
    </row>
    <row r="89" spans="1:8" ht="13.2">
      <c r="A89" s="91"/>
      <c r="B89" s="107"/>
      <c r="C89" s="108"/>
      <c r="D89" s="108"/>
      <c r="E89" s="111"/>
      <c r="F89" s="111"/>
      <c r="G89" s="123"/>
      <c r="H89" s="91"/>
    </row>
    <row r="90" spans="1:8" ht="13.2">
      <c r="A90" s="91"/>
      <c r="B90" s="107"/>
      <c r="C90" s="108"/>
      <c r="D90" s="108"/>
      <c r="E90" s="111"/>
      <c r="F90" s="111"/>
      <c r="G90" s="123"/>
      <c r="H90" s="91"/>
    </row>
    <row r="91" spans="1:8" ht="13.2">
      <c r="A91" s="91"/>
      <c r="B91" s="107"/>
      <c r="C91" s="108"/>
      <c r="D91" s="108"/>
      <c r="E91" s="111"/>
      <c r="F91" s="111"/>
      <c r="G91" s="123"/>
      <c r="H91" s="91"/>
    </row>
    <row r="92" spans="1:8" ht="13.2">
      <c r="A92" s="91"/>
      <c r="B92" s="107"/>
      <c r="C92" s="108"/>
      <c r="D92" s="108"/>
      <c r="E92" s="111"/>
      <c r="F92" s="111"/>
      <c r="G92" s="123"/>
      <c r="H92" s="91"/>
    </row>
    <row r="93" spans="1:8" ht="13.2">
      <c r="A93" s="91"/>
      <c r="B93" s="107"/>
      <c r="C93" s="108"/>
      <c r="D93" s="108"/>
      <c r="E93" s="111"/>
      <c r="F93" s="111"/>
      <c r="G93" s="123"/>
      <c r="H93" s="91"/>
    </row>
    <row r="94" spans="1:8" ht="13.2">
      <c r="A94" s="91"/>
      <c r="B94" s="107"/>
      <c r="C94" s="108"/>
      <c r="D94" s="108"/>
      <c r="E94" s="111"/>
      <c r="F94" s="111"/>
      <c r="G94" s="123"/>
      <c r="H94" s="91"/>
    </row>
    <row r="95" spans="1:8" ht="13.2">
      <c r="A95" s="91"/>
      <c r="B95" s="107"/>
      <c r="C95" s="108"/>
      <c r="D95" s="108"/>
      <c r="E95" s="111"/>
      <c r="F95" s="111"/>
      <c r="G95" s="123"/>
      <c r="H95" s="91"/>
    </row>
    <row r="96" spans="1:8" ht="13.2">
      <c r="A96" s="91"/>
      <c r="B96" s="107"/>
      <c r="C96" s="108"/>
      <c r="D96" s="108"/>
      <c r="E96" s="111"/>
      <c r="F96" s="111"/>
      <c r="G96" s="123"/>
      <c r="H96" s="91"/>
    </row>
    <row r="97" spans="1:8" ht="13.2">
      <c r="A97" s="91"/>
      <c r="B97" s="107"/>
      <c r="C97" s="108"/>
      <c r="D97" s="108"/>
      <c r="E97" s="111"/>
      <c r="F97" s="111"/>
      <c r="G97" s="123"/>
      <c r="H97" s="91"/>
    </row>
    <row r="98" spans="1:8" ht="13.2">
      <c r="A98" s="91"/>
      <c r="B98" s="107"/>
      <c r="C98" s="108"/>
      <c r="D98" s="108"/>
      <c r="E98" s="111"/>
      <c r="F98" s="111"/>
      <c r="G98" s="123"/>
      <c r="H98" s="91"/>
    </row>
    <row r="99" spans="1:8" ht="13.2">
      <c r="A99" s="91"/>
      <c r="B99" s="107"/>
      <c r="C99" s="108"/>
      <c r="D99" s="108"/>
      <c r="E99" s="111"/>
      <c r="F99" s="111"/>
      <c r="G99" s="123"/>
      <c r="H99" s="91"/>
    </row>
    <row r="100" spans="1:8" ht="13.2">
      <c r="A100" s="91"/>
      <c r="B100" s="107"/>
      <c r="C100" s="108"/>
      <c r="D100" s="108"/>
      <c r="E100" s="111"/>
      <c r="F100" s="111"/>
      <c r="G100" s="123"/>
      <c r="H100" s="91"/>
    </row>
    <row r="101" spans="1:8" ht="13.2">
      <c r="A101" s="91"/>
      <c r="B101" s="107"/>
      <c r="C101" s="108"/>
      <c r="D101" s="108"/>
      <c r="E101" s="111"/>
      <c r="F101" s="111"/>
      <c r="G101" s="123"/>
      <c r="H101" s="91"/>
    </row>
    <row r="102" spans="1:8" ht="13.2">
      <c r="A102" s="91"/>
      <c r="B102" s="107"/>
      <c r="C102" s="108"/>
      <c r="D102" s="108"/>
      <c r="E102" s="111"/>
      <c r="F102" s="111"/>
      <c r="G102" s="123"/>
      <c r="H102" s="91"/>
    </row>
    <row r="103" spans="1:8" ht="13.2">
      <c r="A103" s="91"/>
      <c r="B103" s="107"/>
      <c r="C103" s="108"/>
      <c r="D103" s="108"/>
      <c r="E103" s="111"/>
      <c r="F103" s="111"/>
      <c r="G103" s="123"/>
      <c r="H103" s="91"/>
    </row>
    <row r="104" spans="1:8" ht="13.2">
      <c r="A104" s="91"/>
      <c r="B104" s="107"/>
      <c r="C104" s="108"/>
      <c r="D104" s="108"/>
      <c r="E104" s="111"/>
      <c r="F104" s="111"/>
      <c r="G104" s="123"/>
      <c r="H104" s="91"/>
    </row>
    <row r="105" spans="1:8" ht="13.2">
      <c r="A105" s="91"/>
      <c r="B105" s="107"/>
      <c r="C105" s="108"/>
      <c r="D105" s="108"/>
      <c r="E105" s="111"/>
      <c r="F105" s="111"/>
      <c r="G105" s="123"/>
      <c r="H105" s="91"/>
    </row>
    <row r="106" spans="1:8" ht="13.2">
      <c r="A106" s="91"/>
      <c r="B106" s="107"/>
      <c r="C106" s="108"/>
      <c r="D106" s="108"/>
      <c r="E106" s="111"/>
      <c r="F106" s="111"/>
      <c r="G106" s="123"/>
      <c r="H106" s="91"/>
    </row>
    <row r="107" spans="1:8" ht="13.2">
      <c r="A107" s="91"/>
      <c r="B107" s="116"/>
      <c r="C107" s="117"/>
      <c r="D107" s="117"/>
      <c r="E107" s="120"/>
      <c r="F107" s="120"/>
      <c r="G107" s="124"/>
      <c r="H107" s="91"/>
    </row>
    <row r="108" spans="1:8" ht="13.2">
      <c r="A108" s="91"/>
      <c r="B108" s="92"/>
      <c r="C108" s="92"/>
      <c r="D108" s="92"/>
      <c r="E108" s="92"/>
      <c r="F108" s="92"/>
      <c r="G108" s="92"/>
      <c r="H108" s="91"/>
    </row>
  </sheetData>
  <mergeCells count="1">
    <mergeCell ref="B2:G4"/>
  </mergeCells>
  <dataValidations count="1">
    <dataValidation type="list" allowBlank="1" showErrorMessage="1" sqref="G7:G107">
      <formula1>" In Transit , Delivered , Canceled 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'Inventory List'!$B$7:$B$107</xm:f>
          </x14:formula1>
          <xm:sqref>C7:C107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B105"/>
  <sheetViews>
    <sheetView showGridLines="0" workbookViewId="0">
      <selection activeCell="B2" sqref="B2:E12"/>
    </sheetView>
  </sheetViews>
  <sheetFormatPr defaultColWidth="12.5546875" defaultRowHeight="15.75" customHeight="1"/>
  <cols>
    <col min="1" max="1" width="3" customWidth="1"/>
    <col min="2" max="5" width="19" customWidth="1"/>
    <col min="6" max="6" width="3" customWidth="1"/>
    <col min="7" max="26" width="12.5546875" hidden="1"/>
  </cols>
  <sheetData>
    <row r="1" spans="1:106" ht="13.2">
      <c r="A1" s="125"/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</row>
    <row r="2" spans="1:106" ht="25.5" customHeight="1">
      <c r="A2" s="126"/>
      <c r="B2" s="197" t="s">
        <v>97</v>
      </c>
      <c r="C2" s="163"/>
      <c r="D2" s="163"/>
      <c r="E2" s="195"/>
      <c r="F2" s="126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</row>
    <row r="3" spans="1:106" ht="13.2">
      <c r="A3" s="125"/>
      <c r="B3" s="128" t="s">
        <v>34</v>
      </c>
      <c r="C3" s="129" t="s">
        <v>38</v>
      </c>
      <c r="D3" s="129" t="s">
        <v>42</v>
      </c>
      <c r="E3" s="130" t="s">
        <v>46</v>
      </c>
      <c r="F3" s="125"/>
      <c r="G3" s="125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5"/>
      <c r="Z3" s="125"/>
    </row>
    <row r="4" spans="1:106" ht="13.2">
      <c r="A4" s="125"/>
      <c r="B4" s="131" t="s">
        <v>35</v>
      </c>
      <c r="C4" s="132" t="s">
        <v>39</v>
      </c>
      <c r="D4" s="132" t="s">
        <v>43</v>
      </c>
      <c r="E4" s="133" t="s">
        <v>98</v>
      </c>
      <c r="F4" s="125"/>
      <c r="G4" s="125" t="e">
        <f t="array" aca="1" ref="G4:DB4" ca="1">_xludf.IFNA(TRANSPOSE(OFFSET($B$3,1,MATCH('Inventory List'!$C7,$B$3:$E$3,0)-1,100,1)),"")</f>
        <v>#NAME?</v>
      </c>
      <c r="H4" s="125" t="e">
        <f ca="1"/>
        <v>#NAME?</v>
      </c>
      <c r="I4" s="125" t="e">
        <f ca="1"/>
        <v>#NAME?</v>
      </c>
      <c r="J4" s="125" t="e">
        <f ca="1"/>
        <v>#NAME?</v>
      </c>
      <c r="K4" s="125" t="e">
        <f ca="1"/>
        <v>#NAME?</v>
      </c>
      <c r="L4" s="125" t="e">
        <f ca="1"/>
        <v>#NAME?</v>
      </c>
      <c r="M4" s="125" t="e">
        <f ca="1"/>
        <v>#NAME?</v>
      </c>
      <c r="N4" s="125" t="e">
        <f ca="1"/>
        <v>#NAME?</v>
      </c>
      <c r="O4" s="125" t="e">
        <f ca="1"/>
        <v>#NAME?</v>
      </c>
      <c r="P4" s="125" t="e">
        <f ca="1"/>
        <v>#NAME?</v>
      </c>
      <c r="Q4" s="125" t="e">
        <f ca="1"/>
        <v>#NAME?</v>
      </c>
      <c r="R4" s="125" t="e">
        <f ca="1"/>
        <v>#NAME?</v>
      </c>
      <c r="S4" s="125" t="e">
        <f ca="1"/>
        <v>#NAME?</v>
      </c>
      <c r="T4" s="125" t="e">
        <f ca="1"/>
        <v>#NAME?</v>
      </c>
      <c r="U4" s="125" t="e">
        <f ca="1"/>
        <v>#NAME?</v>
      </c>
      <c r="V4" s="125" t="e">
        <f ca="1"/>
        <v>#NAME?</v>
      </c>
      <c r="W4" s="125" t="e">
        <f ca="1"/>
        <v>#NAME?</v>
      </c>
      <c r="X4" s="125" t="e">
        <f ca="1"/>
        <v>#NAME?</v>
      </c>
      <c r="Y4" s="125" t="e">
        <f ca="1"/>
        <v>#NAME?</v>
      </c>
      <c r="Z4" s="125" t="e">
        <f ca="1"/>
        <v>#NAME?</v>
      </c>
      <c r="AA4" t="e">
        <f ca="1"/>
        <v>#NAME?</v>
      </c>
      <c r="AB4" t="e">
        <f ca="1"/>
        <v>#NAME?</v>
      </c>
      <c r="AC4" t="e">
        <f ca="1"/>
        <v>#NAME?</v>
      </c>
      <c r="AD4" t="e">
        <f ca="1"/>
        <v>#NAME?</v>
      </c>
      <c r="AE4" t="e">
        <f ca="1"/>
        <v>#NAME?</v>
      </c>
      <c r="AF4" t="e">
        <f ca="1"/>
        <v>#NAME?</v>
      </c>
      <c r="AG4" t="e">
        <f ca="1"/>
        <v>#NAME?</v>
      </c>
      <c r="AH4" t="e">
        <f ca="1"/>
        <v>#NAME?</v>
      </c>
      <c r="AI4" t="e">
        <f ca="1"/>
        <v>#NAME?</v>
      </c>
      <c r="AJ4" t="e">
        <f ca="1"/>
        <v>#NAME?</v>
      </c>
      <c r="AK4" t="e">
        <f ca="1"/>
        <v>#NAME?</v>
      </c>
      <c r="AL4" t="e">
        <f ca="1"/>
        <v>#NAME?</v>
      </c>
      <c r="AM4" t="e">
        <f ca="1"/>
        <v>#NAME?</v>
      </c>
      <c r="AN4" t="e">
        <f ca="1"/>
        <v>#NAME?</v>
      </c>
      <c r="AO4" t="e">
        <f ca="1"/>
        <v>#NAME?</v>
      </c>
      <c r="AP4" t="e">
        <f ca="1"/>
        <v>#NAME?</v>
      </c>
      <c r="AQ4" t="e">
        <f ca="1"/>
        <v>#NAME?</v>
      </c>
      <c r="AR4" t="e">
        <f ca="1"/>
        <v>#NAME?</v>
      </c>
      <c r="AS4" t="e">
        <f ca="1"/>
        <v>#NAME?</v>
      </c>
      <c r="AT4" t="e">
        <f ca="1"/>
        <v>#NAME?</v>
      </c>
      <c r="AU4" t="e">
        <f ca="1"/>
        <v>#NAME?</v>
      </c>
      <c r="AV4" t="e">
        <f ca="1"/>
        <v>#NAME?</v>
      </c>
      <c r="AW4" t="e">
        <f ca="1"/>
        <v>#NAME?</v>
      </c>
      <c r="AX4" t="e">
        <f ca="1"/>
        <v>#NAME?</v>
      </c>
      <c r="AY4" t="e">
        <f ca="1"/>
        <v>#NAME?</v>
      </c>
      <c r="AZ4" t="e">
        <f ca="1"/>
        <v>#NAME?</v>
      </c>
      <c r="BA4" t="e">
        <f ca="1"/>
        <v>#NAME?</v>
      </c>
      <c r="BB4" t="e">
        <f ca="1"/>
        <v>#NAME?</v>
      </c>
      <c r="BC4" t="e">
        <f ca="1"/>
        <v>#NAME?</v>
      </c>
      <c r="BD4" t="e">
        <f ca="1"/>
        <v>#NAME?</v>
      </c>
      <c r="BE4" t="e">
        <f ca="1"/>
        <v>#NAME?</v>
      </c>
      <c r="BF4" t="e">
        <f ca="1"/>
        <v>#NAME?</v>
      </c>
      <c r="BG4" t="e">
        <f ca="1"/>
        <v>#NAME?</v>
      </c>
      <c r="BH4" t="e">
        <f ca="1"/>
        <v>#NAME?</v>
      </c>
      <c r="BI4" t="e">
        <f ca="1"/>
        <v>#NAME?</v>
      </c>
      <c r="BJ4" t="e">
        <f ca="1"/>
        <v>#NAME?</v>
      </c>
      <c r="BK4" t="e">
        <f ca="1"/>
        <v>#NAME?</v>
      </c>
      <c r="BL4" t="e">
        <f ca="1"/>
        <v>#NAME?</v>
      </c>
      <c r="BM4" t="e">
        <f ca="1"/>
        <v>#NAME?</v>
      </c>
      <c r="BN4" t="e">
        <f ca="1"/>
        <v>#NAME?</v>
      </c>
      <c r="BO4" t="e">
        <f ca="1"/>
        <v>#NAME?</v>
      </c>
      <c r="BP4" t="e">
        <f ca="1"/>
        <v>#NAME?</v>
      </c>
      <c r="BQ4" t="e">
        <f ca="1"/>
        <v>#NAME?</v>
      </c>
      <c r="BR4" t="e">
        <f ca="1"/>
        <v>#NAME?</v>
      </c>
      <c r="BS4" t="e">
        <f ca="1"/>
        <v>#NAME?</v>
      </c>
      <c r="BT4" t="e">
        <f ca="1"/>
        <v>#NAME?</v>
      </c>
      <c r="BU4" t="e">
        <f ca="1"/>
        <v>#NAME?</v>
      </c>
      <c r="BV4" t="e">
        <f ca="1"/>
        <v>#NAME?</v>
      </c>
      <c r="BW4" t="e">
        <f ca="1"/>
        <v>#NAME?</v>
      </c>
      <c r="BX4" t="e">
        <f ca="1"/>
        <v>#NAME?</v>
      </c>
      <c r="BY4" t="e">
        <f ca="1"/>
        <v>#NAME?</v>
      </c>
      <c r="BZ4" t="e">
        <f ca="1"/>
        <v>#NAME?</v>
      </c>
      <c r="CA4" t="e">
        <f ca="1"/>
        <v>#NAME?</v>
      </c>
      <c r="CB4" t="e">
        <f ca="1"/>
        <v>#NAME?</v>
      </c>
      <c r="CC4" t="e">
        <f ca="1"/>
        <v>#NAME?</v>
      </c>
      <c r="CD4" t="e">
        <f ca="1"/>
        <v>#NAME?</v>
      </c>
      <c r="CE4" t="e">
        <f ca="1"/>
        <v>#NAME?</v>
      </c>
      <c r="CF4" t="e">
        <f ca="1"/>
        <v>#NAME?</v>
      </c>
      <c r="CG4" t="e">
        <f ca="1"/>
        <v>#NAME?</v>
      </c>
      <c r="CH4" t="e">
        <f ca="1"/>
        <v>#NAME?</v>
      </c>
      <c r="CI4" t="e">
        <f ca="1"/>
        <v>#NAME?</v>
      </c>
      <c r="CJ4" t="e">
        <f ca="1"/>
        <v>#NAME?</v>
      </c>
      <c r="CK4" t="e">
        <f ca="1"/>
        <v>#NAME?</v>
      </c>
      <c r="CL4" t="e">
        <f ca="1"/>
        <v>#NAME?</v>
      </c>
      <c r="CM4" t="e">
        <f ca="1"/>
        <v>#NAME?</v>
      </c>
      <c r="CN4" t="e">
        <f ca="1"/>
        <v>#NAME?</v>
      </c>
      <c r="CO4" t="e">
        <f ca="1"/>
        <v>#NAME?</v>
      </c>
      <c r="CP4" t="e">
        <f ca="1"/>
        <v>#NAME?</v>
      </c>
      <c r="CQ4" t="e">
        <f ca="1"/>
        <v>#NAME?</v>
      </c>
      <c r="CR4" t="e">
        <f ca="1"/>
        <v>#NAME?</v>
      </c>
      <c r="CS4" t="e">
        <f ca="1"/>
        <v>#NAME?</v>
      </c>
      <c r="CT4" t="e">
        <f ca="1"/>
        <v>#NAME?</v>
      </c>
      <c r="CU4" t="e">
        <f ca="1"/>
        <v>#NAME?</v>
      </c>
      <c r="CV4" t="e">
        <f ca="1"/>
        <v>#NAME?</v>
      </c>
      <c r="CW4" t="e">
        <f ca="1"/>
        <v>#NAME?</v>
      </c>
      <c r="CX4" t="e">
        <f ca="1"/>
        <v>#NAME?</v>
      </c>
      <c r="CY4" t="e">
        <f ca="1"/>
        <v>#NAME?</v>
      </c>
      <c r="CZ4" t="e">
        <f ca="1"/>
        <v>#NAME?</v>
      </c>
      <c r="DA4" t="e">
        <f ca="1"/>
        <v>#NAME?</v>
      </c>
      <c r="DB4" t="e">
        <f ca="1"/>
        <v>#NAME?</v>
      </c>
    </row>
    <row r="5" spans="1:106" ht="13.2">
      <c r="A5" s="125"/>
      <c r="B5" s="134" t="s">
        <v>50</v>
      </c>
      <c r="C5" s="135" t="s">
        <v>53</v>
      </c>
      <c r="D5" s="135" t="s">
        <v>56</v>
      </c>
      <c r="E5" s="136" t="s">
        <v>67</v>
      </c>
      <c r="F5" s="125"/>
      <c r="G5" s="125" t="e">
        <f t="array" aca="1" ref="G5:DB5" ca="1">_xludf.IFNA(TRANSPOSE(OFFSET($B$3,1,MATCH('Inventory List'!$C8,$B$3:$E$3,0)-1,100,1)),"")</f>
        <v>#NAME?</v>
      </c>
      <c r="H5" s="125" t="e">
        <f ca="1"/>
        <v>#NAME?</v>
      </c>
      <c r="I5" s="125" t="e">
        <f ca="1"/>
        <v>#NAME?</v>
      </c>
      <c r="J5" s="125" t="e">
        <f ca="1"/>
        <v>#NAME?</v>
      </c>
      <c r="K5" s="125" t="e">
        <f ca="1"/>
        <v>#NAME?</v>
      </c>
      <c r="L5" s="125" t="e">
        <f ca="1"/>
        <v>#NAME?</v>
      </c>
      <c r="M5" s="125" t="e">
        <f ca="1"/>
        <v>#NAME?</v>
      </c>
      <c r="N5" s="125" t="e">
        <f ca="1"/>
        <v>#NAME?</v>
      </c>
      <c r="O5" s="125" t="e">
        <f ca="1"/>
        <v>#NAME?</v>
      </c>
      <c r="P5" s="125" t="e">
        <f ca="1"/>
        <v>#NAME?</v>
      </c>
      <c r="Q5" s="125" t="e">
        <f ca="1"/>
        <v>#NAME?</v>
      </c>
      <c r="R5" s="125" t="e">
        <f ca="1"/>
        <v>#NAME?</v>
      </c>
      <c r="S5" s="125" t="e">
        <f ca="1"/>
        <v>#NAME?</v>
      </c>
      <c r="T5" s="125" t="e">
        <f ca="1"/>
        <v>#NAME?</v>
      </c>
      <c r="U5" s="125" t="e">
        <f ca="1"/>
        <v>#NAME?</v>
      </c>
      <c r="V5" s="125" t="e">
        <f ca="1"/>
        <v>#NAME?</v>
      </c>
      <c r="W5" s="125" t="e">
        <f ca="1"/>
        <v>#NAME?</v>
      </c>
      <c r="X5" s="125" t="e">
        <f ca="1"/>
        <v>#NAME?</v>
      </c>
      <c r="Y5" s="125" t="e">
        <f ca="1"/>
        <v>#NAME?</v>
      </c>
      <c r="Z5" s="125" t="e">
        <f ca="1"/>
        <v>#NAME?</v>
      </c>
      <c r="AA5" t="e">
        <f ca="1"/>
        <v>#NAME?</v>
      </c>
      <c r="AB5" t="e">
        <f ca="1"/>
        <v>#NAME?</v>
      </c>
      <c r="AC5" t="e">
        <f ca="1"/>
        <v>#NAME?</v>
      </c>
      <c r="AD5" t="e">
        <f ca="1"/>
        <v>#NAME?</v>
      </c>
      <c r="AE5" t="e">
        <f ca="1"/>
        <v>#NAME?</v>
      </c>
      <c r="AF5" t="e">
        <f ca="1"/>
        <v>#NAME?</v>
      </c>
      <c r="AG5" t="e">
        <f ca="1"/>
        <v>#NAME?</v>
      </c>
      <c r="AH5" t="e">
        <f ca="1"/>
        <v>#NAME?</v>
      </c>
      <c r="AI5" t="e">
        <f ca="1"/>
        <v>#NAME?</v>
      </c>
      <c r="AJ5" t="e">
        <f ca="1"/>
        <v>#NAME?</v>
      </c>
      <c r="AK5" t="e">
        <f ca="1"/>
        <v>#NAME?</v>
      </c>
      <c r="AL5" t="e">
        <f ca="1"/>
        <v>#NAME?</v>
      </c>
      <c r="AM5" t="e">
        <f ca="1"/>
        <v>#NAME?</v>
      </c>
      <c r="AN5" t="e">
        <f ca="1"/>
        <v>#NAME?</v>
      </c>
      <c r="AO5" t="e">
        <f ca="1"/>
        <v>#NAME?</v>
      </c>
      <c r="AP5" t="e">
        <f ca="1"/>
        <v>#NAME?</v>
      </c>
      <c r="AQ5" t="e">
        <f ca="1"/>
        <v>#NAME?</v>
      </c>
      <c r="AR5" t="e">
        <f ca="1"/>
        <v>#NAME?</v>
      </c>
      <c r="AS5" t="e">
        <f ca="1"/>
        <v>#NAME?</v>
      </c>
      <c r="AT5" t="e">
        <f ca="1"/>
        <v>#NAME?</v>
      </c>
      <c r="AU5" t="e">
        <f ca="1"/>
        <v>#NAME?</v>
      </c>
      <c r="AV5" t="e">
        <f ca="1"/>
        <v>#NAME?</v>
      </c>
      <c r="AW5" t="e">
        <f ca="1"/>
        <v>#NAME?</v>
      </c>
      <c r="AX5" t="e">
        <f ca="1"/>
        <v>#NAME?</v>
      </c>
      <c r="AY5" t="e">
        <f ca="1"/>
        <v>#NAME?</v>
      </c>
      <c r="AZ5" t="e">
        <f ca="1"/>
        <v>#NAME?</v>
      </c>
      <c r="BA5" t="e">
        <f ca="1"/>
        <v>#NAME?</v>
      </c>
      <c r="BB5" t="e">
        <f ca="1"/>
        <v>#NAME?</v>
      </c>
      <c r="BC5" t="e">
        <f ca="1"/>
        <v>#NAME?</v>
      </c>
      <c r="BD5" t="e">
        <f ca="1"/>
        <v>#NAME?</v>
      </c>
      <c r="BE5" t="e">
        <f ca="1"/>
        <v>#NAME?</v>
      </c>
      <c r="BF5" t="e">
        <f ca="1"/>
        <v>#NAME?</v>
      </c>
      <c r="BG5" t="e">
        <f ca="1"/>
        <v>#NAME?</v>
      </c>
      <c r="BH5" t="e">
        <f ca="1"/>
        <v>#NAME?</v>
      </c>
      <c r="BI5" t="e">
        <f ca="1"/>
        <v>#NAME?</v>
      </c>
      <c r="BJ5" t="e">
        <f ca="1"/>
        <v>#NAME?</v>
      </c>
      <c r="BK5" t="e">
        <f ca="1"/>
        <v>#NAME?</v>
      </c>
      <c r="BL5" t="e">
        <f ca="1"/>
        <v>#NAME?</v>
      </c>
      <c r="BM5" t="e">
        <f ca="1"/>
        <v>#NAME?</v>
      </c>
      <c r="BN5" t="e">
        <f ca="1"/>
        <v>#NAME?</v>
      </c>
      <c r="BO5" t="e">
        <f ca="1"/>
        <v>#NAME?</v>
      </c>
      <c r="BP5" t="e">
        <f ca="1"/>
        <v>#NAME?</v>
      </c>
      <c r="BQ5" t="e">
        <f ca="1"/>
        <v>#NAME?</v>
      </c>
      <c r="BR5" t="e">
        <f ca="1"/>
        <v>#NAME?</v>
      </c>
      <c r="BS5" t="e">
        <f ca="1"/>
        <v>#NAME?</v>
      </c>
      <c r="BT5" t="e">
        <f ca="1"/>
        <v>#NAME?</v>
      </c>
      <c r="BU5" t="e">
        <f ca="1"/>
        <v>#NAME?</v>
      </c>
      <c r="BV5" t="e">
        <f ca="1"/>
        <v>#NAME?</v>
      </c>
      <c r="BW5" t="e">
        <f ca="1"/>
        <v>#NAME?</v>
      </c>
      <c r="BX5" t="e">
        <f ca="1"/>
        <v>#NAME?</v>
      </c>
      <c r="BY5" t="e">
        <f ca="1"/>
        <v>#NAME?</v>
      </c>
      <c r="BZ5" t="e">
        <f ca="1"/>
        <v>#NAME?</v>
      </c>
      <c r="CA5" t="e">
        <f ca="1"/>
        <v>#NAME?</v>
      </c>
      <c r="CB5" t="e">
        <f ca="1"/>
        <v>#NAME?</v>
      </c>
      <c r="CC5" t="e">
        <f ca="1"/>
        <v>#NAME?</v>
      </c>
      <c r="CD5" t="e">
        <f ca="1"/>
        <v>#NAME?</v>
      </c>
      <c r="CE5" t="e">
        <f ca="1"/>
        <v>#NAME?</v>
      </c>
      <c r="CF5" t="e">
        <f ca="1"/>
        <v>#NAME?</v>
      </c>
      <c r="CG5" t="e">
        <f ca="1"/>
        <v>#NAME?</v>
      </c>
      <c r="CH5" t="e">
        <f ca="1"/>
        <v>#NAME?</v>
      </c>
      <c r="CI5" t="e">
        <f ca="1"/>
        <v>#NAME?</v>
      </c>
      <c r="CJ5" t="e">
        <f ca="1"/>
        <v>#NAME?</v>
      </c>
      <c r="CK5" t="e">
        <f ca="1"/>
        <v>#NAME?</v>
      </c>
      <c r="CL5" t="e">
        <f ca="1"/>
        <v>#NAME?</v>
      </c>
      <c r="CM5" t="e">
        <f ca="1"/>
        <v>#NAME?</v>
      </c>
      <c r="CN5" t="e">
        <f ca="1"/>
        <v>#NAME?</v>
      </c>
      <c r="CO5" t="e">
        <f ca="1"/>
        <v>#NAME?</v>
      </c>
      <c r="CP5" t="e">
        <f ca="1"/>
        <v>#NAME?</v>
      </c>
      <c r="CQ5" t="e">
        <f ca="1"/>
        <v>#NAME?</v>
      </c>
      <c r="CR5" t="e">
        <f ca="1"/>
        <v>#NAME?</v>
      </c>
      <c r="CS5" t="e">
        <f ca="1"/>
        <v>#NAME?</v>
      </c>
      <c r="CT5" t="e">
        <f ca="1"/>
        <v>#NAME?</v>
      </c>
      <c r="CU5" t="e">
        <f ca="1"/>
        <v>#NAME?</v>
      </c>
      <c r="CV5" t="e">
        <f ca="1"/>
        <v>#NAME?</v>
      </c>
      <c r="CW5" t="e">
        <f ca="1"/>
        <v>#NAME?</v>
      </c>
      <c r="CX5" t="e">
        <f ca="1"/>
        <v>#NAME?</v>
      </c>
      <c r="CY5" t="e">
        <f ca="1"/>
        <v>#NAME?</v>
      </c>
      <c r="CZ5" t="e">
        <f ca="1"/>
        <v>#NAME?</v>
      </c>
      <c r="DA5" t="e">
        <f ca="1"/>
        <v>#NAME?</v>
      </c>
      <c r="DB5" t="e">
        <f ca="1"/>
        <v>#NAME?</v>
      </c>
    </row>
    <row r="6" spans="1:106" ht="13.2">
      <c r="A6" s="125"/>
      <c r="B6" s="134" t="s">
        <v>70</v>
      </c>
      <c r="C6" s="135" t="s">
        <v>99</v>
      </c>
      <c r="D6" s="135"/>
      <c r="E6" s="136" t="s">
        <v>47</v>
      </c>
      <c r="F6" s="125"/>
      <c r="G6" s="125" t="e">
        <f t="array" aca="1" ref="G6:DB6" ca="1">_xludf.IFNA(TRANSPOSE(OFFSET($B$3,1,MATCH('Inventory List'!$C9,$B$3:$E$3,0)-1,100,1)),"")</f>
        <v>#NAME?</v>
      </c>
      <c r="H6" s="125" t="e">
        <f ca="1"/>
        <v>#NAME?</v>
      </c>
      <c r="I6" s="125" t="e">
        <f ca="1"/>
        <v>#NAME?</v>
      </c>
      <c r="J6" s="125" t="e">
        <f ca="1"/>
        <v>#NAME?</v>
      </c>
      <c r="K6" s="125" t="e">
        <f ca="1"/>
        <v>#NAME?</v>
      </c>
      <c r="L6" s="125" t="e">
        <f ca="1"/>
        <v>#NAME?</v>
      </c>
      <c r="M6" s="125" t="e">
        <f ca="1"/>
        <v>#NAME?</v>
      </c>
      <c r="N6" s="125" t="e">
        <f ca="1"/>
        <v>#NAME?</v>
      </c>
      <c r="O6" s="125" t="e">
        <f ca="1"/>
        <v>#NAME?</v>
      </c>
      <c r="P6" s="125" t="e">
        <f ca="1"/>
        <v>#NAME?</v>
      </c>
      <c r="Q6" s="125" t="e">
        <f ca="1"/>
        <v>#NAME?</v>
      </c>
      <c r="R6" s="125" t="e">
        <f ca="1"/>
        <v>#NAME?</v>
      </c>
      <c r="S6" s="125" t="e">
        <f ca="1"/>
        <v>#NAME?</v>
      </c>
      <c r="T6" s="125" t="e">
        <f ca="1"/>
        <v>#NAME?</v>
      </c>
      <c r="U6" s="125" t="e">
        <f ca="1"/>
        <v>#NAME?</v>
      </c>
      <c r="V6" s="125" t="e">
        <f ca="1"/>
        <v>#NAME?</v>
      </c>
      <c r="W6" s="125" t="e">
        <f ca="1"/>
        <v>#NAME?</v>
      </c>
      <c r="X6" s="125" t="e">
        <f ca="1"/>
        <v>#NAME?</v>
      </c>
      <c r="Y6" s="125" t="e">
        <f ca="1"/>
        <v>#NAME?</v>
      </c>
      <c r="Z6" s="125" t="e">
        <f ca="1"/>
        <v>#NAME?</v>
      </c>
      <c r="AA6" t="e">
        <f ca="1"/>
        <v>#NAME?</v>
      </c>
      <c r="AB6" t="e">
        <f ca="1"/>
        <v>#NAME?</v>
      </c>
      <c r="AC6" t="e">
        <f ca="1"/>
        <v>#NAME?</v>
      </c>
      <c r="AD6" t="e">
        <f ca="1"/>
        <v>#NAME?</v>
      </c>
      <c r="AE6" t="e">
        <f ca="1"/>
        <v>#NAME?</v>
      </c>
      <c r="AF6" t="e">
        <f ca="1"/>
        <v>#NAME?</v>
      </c>
      <c r="AG6" t="e">
        <f ca="1"/>
        <v>#NAME?</v>
      </c>
      <c r="AH6" t="e">
        <f ca="1"/>
        <v>#NAME?</v>
      </c>
      <c r="AI6" t="e">
        <f ca="1"/>
        <v>#NAME?</v>
      </c>
      <c r="AJ6" t="e">
        <f ca="1"/>
        <v>#NAME?</v>
      </c>
      <c r="AK6" t="e">
        <f ca="1"/>
        <v>#NAME?</v>
      </c>
      <c r="AL6" t="e">
        <f ca="1"/>
        <v>#NAME?</v>
      </c>
      <c r="AM6" t="e">
        <f ca="1"/>
        <v>#NAME?</v>
      </c>
      <c r="AN6" t="e">
        <f ca="1"/>
        <v>#NAME?</v>
      </c>
      <c r="AO6" t="e">
        <f ca="1"/>
        <v>#NAME?</v>
      </c>
      <c r="AP6" t="e">
        <f ca="1"/>
        <v>#NAME?</v>
      </c>
      <c r="AQ6" t="e">
        <f ca="1"/>
        <v>#NAME?</v>
      </c>
      <c r="AR6" t="e">
        <f ca="1"/>
        <v>#NAME?</v>
      </c>
      <c r="AS6" t="e">
        <f ca="1"/>
        <v>#NAME?</v>
      </c>
      <c r="AT6" t="e">
        <f ca="1"/>
        <v>#NAME?</v>
      </c>
      <c r="AU6" t="e">
        <f ca="1"/>
        <v>#NAME?</v>
      </c>
      <c r="AV6" t="e">
        <f ca="1"/>
        <v>#NAME?</v>
      </c>
      <c r="AW6" t="e">
        <f ca="1"/>
        <v>#NAME?</v>
      </c>
      <c r="AX6" t="e">
        <f ca="1"/>
        <v>#NAME?</v>
      </c>
      <c r="AY6" t="e">
        <f ca="1"/>
        <v>#NAME?</v>
      </c>
      <c r="AZ6" t="e">
        <f ca="1"/>
        <v>#NAME?</v>
      </c>
      <c r="BA6" t="e">
        <f ca="1"/>
        <v>#NAME?</v>
      </c>
      <c r="BB6" t="e">
        <f ca="1"/>
        <v>#NAME?</v>
      </c>
      <c r="BC6" t="e">
        <f ca="1"/>
        <v>#NAME?</v>
      </c>
      <c r="BD6" t="e">
        <f ca="1"/>
        <v>#NAME?</v>
      </c>
      <c r="BE6" t="e">
        <f ca="1"/>
        <v>#NAME?</v>
      </c>
      <c r="BF6" t="e">
        <f ca="1"/>
        <v>#NAME?</v>
      </c>
      <c r="BG6" t="e">
        <f ca="1"/>
        <v>#NAME?</v>
      </c>
      <c r="BH6" t="e">
        <f ca="1"/>
        <v>#NAME?</v>
      </c>
      <c r="BI6" t="e">
        <f ca="1"/>
        <v>#NAME?</v>
      </c>
      <c r="BJ6" t="e">
        <f ca="1"/>
        <v>#NAME?</v>
      </c>
      <c r="BK6" t="e">
        <f ca="1"/>
        <v>#NAME?</v>
      </c>
      <c r="BL6" t="e">
        <f ca="1"/>
        <v>#NAME?</v>
      </c>
      <c r="BM6" t="e">
        <f ca="1"/>
        <v>#NAME?</v>
      </c>
      <c r="BN6" t="e">
        <f ca="1"/>
        <v>#NAME?</v>
      </c>
      <c r="BO6" t="e">
        <f ca="1"/>
        <v>#NAME?</v>
      </c>
      <c r="BP6" t="e">
        <f ca="1"/>
        <v>#NAME?</v>
      </c>
      <c r="BQ6" t="e">
        <f ca="1"/>
        <v>#NAME?</v>
      </c>
      <c r="BR6" t="e">
        <f ca="1"/>
        <v>#NAME?</v>
      </c>
      <c r="BS6" t="e">
        <f ca="1"/>
        <v>#NAME?</v>
      </c>
      <c r="BT6" t="e">
        <f ca="1"/>
        <v>#NAME?</v>
      </c>
      <c r="BU6" t="e">
        <f ca="1"/>
        <v>#NAME?</v>
      </c>
      <c r="BV6" t="e">
        <f ca="1"/>
        <v>#NAME?</v>
      </c>
      <c r="BW6" t="e">
        <f ca="1"/>
        <v>#NAME?</v>
      </c>
      <c r="BX6" t="e">
        <f ca="1"/>
        <v>#NAME?</v>
      </c>
      <c r="BY6" t="e">
        <f ca="1"/>
        <v>#NAME?</v>
      </c>
      <c r="BZ6" t="e">
        <f ca="1"/>
        <v>#NAME?</v>
      </c>
      <c r="CA6" t="e">
        <f ca="1"/>
        <v>#NAME?</v>
      </c>
      <c r="CB6" t="e">
        <f ca="1"/>
        <v>#NAME?</v>
      </c>
      <c r="CC6" t="e">
        <f ca="1"/>
        <v>#NAME?</v>
      </c>
      <c r="CD6" t="e">
        <f ca="1"/>
        <v>#NAME?</v>
      </c>
      <c r="CE6" t="e">
        <f ca="1"/>
        <v>#NAME?</v>
      </c>
      <c r="CF6" t="e">
        <f ca="1"/>
        <v>#NAME?</v>
      </c>
      <c r="CG6" t="e">
        <f ca="1"/>
        <v>#NAME?</v>
      </c>
      <c r="CH6" t="e">
        <f ca="1"/>
        <v>#NAME?</v>
      </c>
      <c r="CI6" t="e">
        <f ca="1"/>
        <v>#NAME?</v>
      </c>
      <c r="CJ6" t="e">
        <f ca="1"/>
        <v>#NAME?</v>
      </c>
      <c r="CK6" t="e">
        <f ca="1"/>
        <v>#NAME?</v>
      </c>
      <c r="CL6" t="e">
        <f ca="1"/>
        <v>#NAME?</v>
      </c>
      <c r="CM6" t="e">
        <f ca="1"/>
        <v>#NAME?</v>
      </c>
      <c r="CN6" t="e">
        <f ca="1"/>
        <v>#NAME?</v>
      </c>
      <c r="CO6" t="e">
        <f ca="1"/>
        <v>#NAME?</v>
      </c>
      <c r="CP6" t="e">
        <f ca="1"/>
        <v>#NAME?</v>
      </c>
      <c r="CQ6" t="e">
        <f ca="1"/>
        <v>#NAME?</v>
      </c>
      <c r="CR6" t="e">
        <f ca="1"/>
        <v>#NAME?</v>
      </c>
      <c r="CS6" t="e">
        <f ca="1"/>
        <v>#NAME?</v>
      </c>
      <c r="CT6" t="e">
        <f ca="1"/>
        <v>#NAME?</v>
      </c>
      <c r="CU6" t="e">
        <f ca="1"/>
        <v>#NAME?</v>
      </c>
      <c r="CV6" t="e">
        <f ca="1"/>
        <v>#NAME?</v>
      </c>
      <c r="CW6" t="e">
        <f ca="1"/>
        <v>#NAME?</v>
      </c>
      <c r="CX6" t="e">
        <f ca="1"/>
        <v>#NAME?</v>
      </c>
      <c r="CY6" t="e">
        <f ca="1"/>
        <v>#NAME?</v>
      </c>
      <c r="CZ6" t="e">
        <f ca="1"/>
        <v>#NAME?</v>
      </c>
      <c r="DA6" t="e">
        <f ca="1"/>
        <v>#NAME?</v>
      </c>
      <c r="DB6" t="e">
        <f ca="1"/>
        <v>#NAME?</v>
      </c>
    </row>
    <row r="7" spans="1:106" ht="13.2">
      <c r="A7" s="125"/>
      <c r="B7" s="134" t="s">
        <v>100</v>
      </c>
      <c r="C7" s="135"/>
      <c r="D7" s="135"/>
      <c r="E7" s="136" t="s">
        <v>101</v>
      </c>
      <c r="F7" s="125"/>
      <c r="G7" s="125" t="e">
        <f t="array" aca="1" ref="G7:DB7" ca="1">_xludf.IFNA(TRANSPOSE(OFFSET($B$3,1,MATCH('Inventory List'!$C10,$B$3:$E$3,0)-1,100,1)),"")</f>
        <v>#NAME?</v>
      </c>
      <c r="H7" s="125" t="e">
        <f ca="1"/>
        <v>#NAME?</v>
      </c>
      <c r="I7" s="125" t="e">
        <f ca="1"/>
        <v>#NAME?</v>
      </c>
      <c r="J7" s="125" t="e">
        <f ca="1"/>
        <v>#NAME?</v>
      </c>
      <c r="K7" s="125" t="e">
        <f ca="1"/>
        <v>#NAME?</v>
      </c>
      <c r="L7" s="125" t="e">
        <f ca="1"/>
        <v>#NAME?</v>
      </c>
      <c r="M7" s="125" t="e">
        <f ca="1"/>
        <v>#NAME?</v>
      </c>
      <c r="N7" s="125" t="e">
        <f ca="1"/>
        <v>#NAME?</v>
      </c>
      <c r="O7" s="125" t="e">
        <f ca="1"/>
        <v>#NAME?</v>
      </c>
      <c r="P7" s="125" t="e">
        <f ca="1"/>
        <v>#NAME?</v>
      </c>
      <c r="Q7" s="125" t="e">
        <f ca="1"/>
        <v>#NAME?</v>
      </c>
      <c r="R7" s="125" t="e">
        <f ca="1"/>
        <v>#NAME?</v>
      </c>
      <c r="S7" s="125" t="e">
        <f ca="1"/>
        <v>#NAME?</v>
      </c>
      <c r="T7" s="125" t="e">
        <f ca="1"/>
        <v>#NAME?</v>
      </c>
      <c r="U7" s="125" t="e">
        <f ca="1"/>
        <v>#NAME?</v>
      </c>
      <c r="V7" s="125" t="e">
        <f ca="1"/>
        <v>#NAME?</v>
      </c>
      <c r="W7" s="125" t="e">
        <f ca="1"/>
        <v>#NAME?</v>
      </c>
      <c r="X7" s="125" t="e">
        <f ca="1"/>
        <v>#NAME?</v>
      </c>
      <c r="Y7" s="125" t="e">
        <f ca="1"/>
        <v>#NAME?</v>
      </c>
      <c r="Z7" s="125" t="e">
        <f ca="1"/>
        <v>#NAME?</v>
      </c>
      <c r="AA7" t="e">
        <f ca="1"/>
        <v>#NAME?</v>
      </c>
      <c r="AB7" t="e">
        <f ca="1"/>
        <v>#NAME?</v>
      </c>
      <c r="AC7" t="e">
        <f ca="1"/>
        <v>#NAME?</v>
      </c>
      <c r="AD7" t="e">
        <f ca="1"/>
        <v>#NAME?</v>
      </c>
      <c r="AE7" t="e">
        <f ca="1"/>
        <v>#NAME?</v>
      </c>
      <c r="AF7" t="e">
        <f ca="1"/>
        <v>#NAME?</v>
      </c>
      <c r="AG7" t="e">
        <f ca="1"/>
        <v>#NAME?</v>
      </c>
      <c r="AH7" t="e">
        <f ca="1"/>
        <v>#NAME?</v>
      </c>
      <c r="AI7" t="e">
        <f ca="1"/>
        <v>#NAME?</v>
      </c>
      <c r="AJ7" t="e">
        <f ca="1"/>
        <v>#NAME?</v>
      </c>
      <c r="AK7" t="e">
        <f ca="1"/>
        <v>#NAME?</v>
      </c>
      <c r="AL7" t="e">
        <f ca="1"/>
        <v>#NAME?</v>
      </c>
      <c r="AM7" t="e">
        <f ca="1"/>
        <v>#NAME?</v>
      </c>
      <c r="AN7" t="e">
        <f ca="1"/>
        <v>#NAME?</v>
      </c>
      <c r="AO7" t="e">
        <f ca="1"/>
        <v>#NAME?</v>
      </c>
      <c r="AP7" t="e">
        <f ca="1"/>
        <v>#NAME?</v>
      </c>
      <c r="AQ7" t="e">
        <f ca="1"/>
        <v>#NAME?</v>
      </c>
      <c r="AR7" t="e">
        <f ca="1"/>
        <v>#NAME?</v>
      </c>
      <c r="AS7" t="e">
        <f ca="1"/>
        <v>#NAME?</v>
      </c>
      <c r="AT7" t="e">
        <f ca="1"/>
        <v>#NAME?</v>
      </c>
      <c r="AU7" t="e">
        <f ca="1"/>
        <v>#NAME?</v>
      </c>
      <c r="AV7" t="e">
        <f ca="1"/>
        <v>#NAME?</v>
      </c>
      <c r="AW7" t="e">
        <f ca="1"/>
        <v>#NAME?</v>
      </c>
      <c r="AX7" t="e">
        <f ca="1"/>
        <v>#NAME?</v>
      </c>
      <c r="AY7" t="e">
        <f ca="1"/>
        <v>#NAME?</v>
      </c>
      <c r="AZ7" t="e">
        <f ca="1"/>
        <v>#NAME?</v>
      </c>
      <c r="BA7" t="e">
        <f ca="1"/>
        <v>#NAME?</v>
      </c>
      <c r="BB7" t="e">
        <f ca="1"/>
        <v>#NAME?</v>
      </c>
      <c r="BC7" t="e">
        <f ca="1"/>
        <v>#NAME?</v>
      </c>
      <c r="BD7" t="e">
        <f ca="1"/>
        <v>#NAME?</v>
      </c>
      <c r="BE7" t="e">
        <f ca="1"/>
        <v>#NAME?</v>
      </c>
      <c r="BF7" t="e">
        <f ca="1"/>
        <v>#NAME?</v>
      </c>
      <c r="BG7" t="e">
        <f ca="1"/>
        <v>#NAME?</v>
      </c>
      <c r="BH7" t="e">
        <f ca="1"/>
        <v>#NAME?</v>
      </c>
      <c r="BI7" t="e">
        <f ca="1"/>
        <v>#NAME?</v>
      </c>
      <c r="BJ7" t="e">
        <f ca="1"/>
        <v>#NAME?</v>
      </c>
      <c r="BK7" t="e">
        <f ca="1"/>
        <v>#NAME?</v>
      </c>
      <c r="BL7" t="e">
        <f ca="1"/>
        <v>#NAME?</v>
      </c>
      <c r="BM7" t="e">
        <f ca="1"/>
        <v>#NAME?</v>
      </c>
      <c r="BN7" t="e">
        <f ca="1"/>
        <v>#NAME?</v>
      </c>
      <c r="BO7" t="e">
        <f ca="1"/>
        <v>#NAME?</v>
      </c>
      <c r="BP7" t="e">
        <f ca="1"/>
        <v>#NAME?</v>
      </c>
      <c r="BQ7" t="e">
        <f ca="1"/>
        <v>#NAME?</v>
      </c>
      <c r="BR7" t="e">
        <f ca="1"/>
        <v>#NAME?</v>
      </c>
      <c r="BS7" t="e">
        <f ca="1"/>
        <v>#NAME?</v>
      </c>
      <c r="BT7" t="e">
        <f ca="1"/>
        <v>#NAME?</v>
      </c>
      <c r="BU7" t="e">
        <f ca="1"/>
        <v>#NAME?</v>
      </c>
      <c r="BV7" t="e">
        <f ca="1"/>
        <v>#NAME?</v>
      </c>
      <c r="BW7" t="e">
        <f ca="1"/>
        <v>#NAME?</v>
      </c>
      <c r="BX7" t="e">
        <f ca="1"/>
        <v>#NAME?</v>
      </c>
      <c r="BY7" t="e">
        <f ca="1"/>
        <v>#NAME?</v>
      </c>
      <c r="BZ7" t="e">
        <f ca="1"/>
        <v>#NAME?</v>
      </c>
      <c r="CA7" t="e">
        <f ca="1"/>
        <v>#NAME?</v>
      </c>
      <c r="CB7" t="e">
        <f ca="1"/>
        <v>#NAME?</v>
      </c>
      <c r="CC7" t="e">
        <f ca="1"/>
        <v>#NAME?</v>
      </c>
      <c r="CD7" t="e">
        <f ca="1"/>
        <v>#NAME?</v>
      </c>
      <c r="CE7" t="e">
        <f ca="1"/>
        <v>#NAME?</v>
      </c>
      <c r="CF7" t="e">
        <f ca="1"/>
        <v>#NAME?</v>
      </c>
      <c r="CG7" t="e">
        <f ca="1"/>
        <v>#NAME?</v>
      </c>
      <c r="CH7" t="e">
        <f ca="1"/>
        <v>#NAME?</v>
      </c>
      <c r="CI7" t="e">
        <f ca="1"/>
        <v>#NAME?</v>
      </c>
      <c r="CJ7" t="e">
        <f ca="1"/>
        <v>#NAME?</v>
      </c>
      <c r="CK7" t="e">
        <f ca="1"/>
        <v>#NAME?</v>
      </c>
      <c r="CL7" t="e">
        <f ca="1"/>
        <v>#NAME?</v>
      </c>
      <c r="CM7" t="e">
        <f ca="1"/>
        <v>#NAME?</v>
      </c>
      <c r="CN7" t="e">
        <f ca="1"/>
        <v>#NAME?</v>
      </c>
      <c r="CO7" t="e">
        <f ca="1"/>
        <v>#NAME?</v>
      </c>
      <c r="CP7" t="e">
        <f ca="1"/>
        <v>#NAME?</v>
      </c>
      <c r="CQ7" t="e">
        <f ca="1"/>
        <v>#NAME?</v>
      </c>
      <c r="CR7" t="e">
        <f ca="1"/>
        <v>#NAME?</v>
      </c>
      <c r="CS7" t="e">
        <f ca="1"/>
        <v>#NAME?</v>
      </c>
      <c r="CT7" t="e">
        <f ca="1"/>
        <v>#NAME?</v>
      </c>
      <c r="CU7" t="e">
        <f ca="1"/>
        <v>#NAME?</v>
      </c>
      <c r="CV7" t="e">
        <f ca="1"/>
        <v>#NAME?</v>
      </c>
      <c r="CW7" t="e">
        <f ca="1"/>
        <v>#NAME?</v>
      </c>
      <c r="CX7" t="e">
        <f ca="1"/>
        <v>#NAME?</v>
      </c>
      <c r="CY7" t="e">
        <f ca="1"/>
        <v>#NAME?</v>
      </c>
      <c r="CZ7" t="e">
        <f ca="1"/>
        <v>#NAME?</v>
      </c>
      <c r="DA7" t="e">
        <f ca="1"/>
        <v>#NAME?</v>
      </c>
      <c r="DB7" t="e">
        <f ca="1"/>
        <v>#NAME?</v>
      </c>
    </row>
    <row r="8" spans="1:106" ht="13.2">
      <c r="A8" s="125"/>
      <c r="B8" s="134" t="s">
        <v>102</v>
      </c>
      <c r="C8" s="135"/>
      <c r="D8" s="135"/>
      <c r="E8" s="136" t="s">
        <v>103</v>
      </c>
      <c r="F8" s="125"/>
      <c r="G8" s="125" t="e">
        <f t="array" aca="1" ref="G8:DB8" ca="1">_xludf.IFNA(TRANSPOSE(OFFSET($B$3,1,MATCH('Inventory List'!$C11,$B$3:$E$3,0)-1,100,1)),"")</f>
        <v>#NAME?</v>
      </c>
      <c r="H8" s="125" t="e">
        <f ca="1"/>
        <v>#NAME?</v>
      </c>
      <c r="I8" s="125" t="e">
        <f ca="1"/>
        <v>#NAME?</v>
      </c>
      <c r="J8" s="125" t="e">
        <f ca="1"/>
        <v>#NAME?</v>
      </c>
      <c r="K8" s="125" t="e">
        <f ca="1"/>
        <v>#NAME?</v>
      </c>
      <c r="L8" s="125" t="e">
        <f ca="1"/>
        <v>#NAME?</v>
      </c>
      <c r="M8" s="125" t="e">
        <f ca="1"/>
        <v>#NAME?</v>
      </c>
      <c r="N8" s="125" t="e">
        <f ca="1"/>
        <v>#NAME?</v>
      </c>
      <c r="O8" s="125" t="e">
        <f ca="1"/>
        <v>#NAME?</v>
      </c>
      <c r="P8" s="125" t="e">
        <f ca="1"/>
        <v>#NAME?</v>
      </c>
      <c r="Q8" s="125" t="e">
        <f ca="1"/>
        <v>#NAME?</v>
      </c>
      <c r="R8" s="125" t="e">
        <f ca="1"/>
        <v>#NAME?</v>
      </c>
      <c r="S8" s="125" t="e">
        <f ca="1"/>
        <v>#NAME?</v>
      </c>
      <c r="T8" s="125" t="e">
        <f ca="1"/>
        <v>#NAME?</v>
      </c>
      <c r="U8" s="125" t="e">
        <f ca="1"/>
        <v>#NAME?</v>
      </c>
      <c r="V8" s="125" t="e">
        <f ca="1"/>
        <v>#NAME?</v>
      </c>
      <c r="W8" s="125" t="e">
        <f ca="1"/>
        <v>#NAME?</v>
      </c>
      <c r="X8" s="125" t="e">
        <f ca="1"/>
        <v>#NAME?</v>
      </c>
      <c r="Y8" s="125" t="e">
        <f ca="1"/>
        <v>#NAME?</v>
      </c>
      <c r="Z8" s="125" t="e">
        <f ca="1"/>
        <v>#NAME?</v>
      </c>
      <c r="AA8" t="e">
        <f ca="1"/>
        <v>#NAME?</v>
      </c>
      <c r="AB8" t="e">
        <f ca="1"/>
        <v>#NAME?</v>
      </c>
      <c r="AC8" t="e">
        <f ca="1"/>
        <v>#NAME?</v>
      </c>
      <c r="AD8" t="e">
        <f ca="1"/>
        <v>#NAME?</v>
      </c>
      <c r="AE8" t="e">
        <f ca="1"/>
        <v>#NAME?</v>
      </c>
      <c r="AF8" t="e">
        <f ca="1"/>
        <v>#NAME?</v>
      </c>
      <c r="AG8" t="e">
        <f ca="1"/>
        <v>#NAME?</v>
      </c>
      <c r="AH8" t="e">
        <f ca="1"/>
        <v>#NAME?</v>
      </c>
      <c r="AI8" t="e">
        <f ca="1"/>
        <v>#NAME?</v>
      </c>
      <c r="AJ8" t="e">
        <f ca="1"/>
        <v>#NAME?</v>
      </c>
      <c r="AK8" t="e">
        <f ca="1"/>
        <v>#NAME?</v>
      </c>
      <c r="AL8" t="e">
        <f ca="1"/>
        <v>#NAME?</v>
      </c>
      <c r="AM8" t="e">
        <f ca="1"/>
        <v>#NAME?</v>
      </c>
      <c r="AN8" t="e">
        <f ca="1"/>
        <v>#NAME?</v>
      </c>
      <c r="AO8" t="e">
        <f ca="1"/>
        <v>#NAME?</v>
      </c>
      <c r="AP8" t="e">
        <f ca="1"/>
        <v>#NAME?</v>
      </c>
      <c r="AQ8" t="e">
        <f ca="1"/>
        <v>#NAME?</v>
      </c>
      <c r="AR8" t="e">
        <f ca="1"/>
        <v>#NAME?</v>
      </c>
      <c r="AS8" t="e">
        <f ca="1"/>
        <v>#NAME?</v>
      </c>
      <c r="AT8" t="e">
        <f ca="1"/>
        <v>#NAME?</v>
      </c>
      <c r="AU8" t="e">
        <f ca="1"/>
        <v>#NAME?</v>
      </c>
      <c r="AV8" t="e">
        <f ca="1"/>
        <v>#NAME?</v>
      </c>
      <c r="AW8" t="e">
        <f ca="1"/>
        <v>#NAME?</v>
      </c>
      <c r="AX8" t="e">
        <f ca="1"/>
        <v>#NAME?</v>
      </c>
      <c r="AY8" t="e">
        <f ca="1"/>
        <v>#NAME?</v>
      </c>
      <c r="AZ8" t="e">
        <f ca="1"/>
        <v>#NAME?</v>
      </c>
      <c r="BA8" t="e">
        <f ca="1"/>
        <v>#NAME?</v>
      </c>
      <c r="BB8" t="e">
        <f ca="1"/>
        <v>#NAME?</v>
      </c>
      <c r="BC8" t="e">
        <f ca="1"/>
        <v>#NAME?</v>
      </c>
      <c r="BD8" t="e">
        <f ca="1"/>
        <v>#NAME?</v>
      </c>
      <c r="BE8" t="e">
        <f ca="1"/>
        <v>#NAME?</v>
      </c>
      <c r="BF8" t="e">
        <f ca="1"/>
        <v>#NAME?</v>
      </c>
      <c r="BG8" t="e">
        <f ca="1"/>
        <v>#NAME?</v>
      </c>
      <c r="BH8" t="e">
        <f ca="1"/>
        <v>#NAME?</v>
      </c>
      <c r="BI8" t="e">
        <f ca="1"/>
        <v>#NAME?</v>
      </c>
      <c r="BJ8" t="e">
        <f ca="1"/>
        <v>#NAME?</v>
      </c>
      <c r="BK8" t="e">
        <f ca="1"/>
        <v>#NAME?</v>
      </c>
      <c r="BL8" t="e">
        <f ca="1"/>
        <v>#NAME?</v>
      </c>
      <c r="BM8" t="e">
        <f ca="1"/>
        <v>#NAME?</v>
      </c>
      <c r="BN8" t="e">
        <f ca="1"/>
        <v>#NAME?</v>
      </c>
      <c r="BO8" t="e">
        <f ca="1"/>
        <v>#NAME?</v>
      </c>
      <c r="BP8" t="e">
        <f ca="1"/>
        <v>#NAME?</v>
      </c>
      <c r="BQ8" t="e">
        <f ca="1"/>
        <v>#NAME?</v>
      </c>
      <c r="BR8" t="e">
        <f ca="1"/>
        <v>#NAME?</v>
      </c>
      <c r="BS8" t="e">
        <f ca="1"/>
        <v>#NAME?</v>
      </c>
      <c r="BT8" t="e">
        <f ca="1"/>
        <v>#NAME?</v>
      </c>
      <c r="BU8" t="e">
        <f ca="1"/>
        <v>#NAME?</v>
      </c>
      <c r="BV8" t="e">
        <f ca="1"/>
        <v>#NAME?</v>
      </c>
      <c r="BW8" t="e">
        <f ca="1"/>
        <v>#NAME?</v>
      </c>
      <c r="BX8" t="e">
        <f ca="1"/>
        <v>#NAME?</v>
      </c>
      <c r="BY8" t="e">
        <f ca="1"/>
        <v>#NAME?</v>
      </c>
      <c r="BZ8" t="e">
        <f ca="1"/>
        <v>#NAME?</v>
      </c>
      <c r="CA8" t="e">
        <f ca="1"/>
        <v>#NAME?</v>
      </c>
      <c r="CB8" t="e">
        <f ca="1"/>
        <v>#NAME?</v>
      </c>
      <c r="CC8" t="e">
        <f ca="1"/>
        <v>#NAME?</v>
      </c>
      <c r="CD8" t="e">
        <f ca="1"/>
        <v>#NAME?</v>
      </c>
      <c r="CE8" t="e">
        <f ca="1"/>
        <v>#NAME?</v>
      </c>
      <c r="CF8" t="e">
        <f ca="1"/>
        <v>#NAME?</v>
      </c>
      <c r="CG8" t="e">
        <f ca="1"/>
        <v>#NAME?</v>
      </c>
      <c r="CH8" t="e">
        <f ca="1"/>
        <v>#NAME?</v>
      </c>
      <c r="CI8" t="e">
        <f ca="1"/>
        <v>#NAME?</v>
      </c>
      <c r="CJ8" t="e">
        <f ca="1"/>
        <v>#NAME?</v>
      </c>
      <c r="CK8" t="e">
        <f ca="1"/>
        <v>#NAME?</v>
      </c>
      <c r="CL8" t="e">
        <f ca="1"/>
        <v>#NAME?</v>
      </c>
      <c r="CM8" t="e">
        <f ca="1"/>
        <v>#NAME?</v>
      </c>
      <c r="CN8" t="e">
        <f ca="1"/>
        <v>#NAME?</v>
      </c>
      <c r="CO8" t="e">
        <f ca="1"/>
        <v>#NAME?</v>
      </c>
      <c r="CP8" t="e">
        <f ca="1"/>
        <v>#NAME?</v>
      </c>
      <c r="CQ8" t="e">
        <f ca="1"/>
        <v>#NAME?</v>
      </c>
      <c r="CR8" t="e">
        <f ca="1"/>
        <v>#NAME?</v>
      </c>
      <c r="CS8" t="e">
        <f ca="1"/>
        <v>#NAME?</v>
      </c>
      <c r="CT8" t="e">
        <f ca="1"/>
        <v>#NAME?</v>
      </c>
      <c r="CU8" t="e">
        <f ca="1"/>
        <v>#NAME?</v>
      </c>
      <c r="CV8" t="e">
        <f ca="1"/>
        <v>#NAME?</v>
      </c>
      <c r="CW8" t="e">
        <f ca="1"/>
        <v>#NAME?</v>
      </c>
      <c r="CX8" t="e">
        <f ca="1"/>
        <v>#NAME?</v>
      </c>
      <c r="CY8" t="e">
        <f ca="1"/>
        <v>#NAME?</v>
      </c>
      <c r="CZ8" t="e">
        <f ca="1"/>
        <v>#NAME?</v>
      </c>
      <c r="DA8" t="e">
        <f ca="1"/>
        <v>#NAME?</v>
      </c>
      <c r="DB8" t="e">
        <f ca="1"/>
        <v>#NAME?</v>
      </c>
    </row>
    <row r="9" spans="1:106" ht="13.2">
      <c r="A9" s="125"/>
      <c r="B9" s="134"/>
      <c r="C9" s="135"/>
      <c r="D9" s="135"/>
      <c r="E9" s="136"/>
      <c r="F9" s="125"/>
      <c r="G9" s="125" t="e">
        <f t="array" aca="1" ref="G9:DB9" ca="1">_xludf.IFNA(TRANSPOSE(OFFSET($B$3,1,MATCH('Inventory List'!$C12,$B$3:$E$3,0)-1,100,1)),"")</f>
        <v>#NAME?</v>
      </c>
      <c r="H9" s="125" t="e">
        <f ca="1"/>
        <v>#NAME?</v>
      </c>
      <c r="I9" s="125" t="e">
        <f ca="1"/>
        <v>#NAME?</v>
      </c>
      <c r="J9" s="125" t="e">
        <f ca="1"/>
        <v>#NAME?</v>
      </c>
      <c r="K9" s="125" t="e">
        <f ca="1"/>
        <v>#NAME?</v>
      </c>
      <c r="L9" s="125" t="e">
        <f ca="1"/>
        <v>#NAME?</v>
      </c>
      <c r="M9" s="125" t="e">
        <f ca="1"/>
        <v>#NAME?</v>
      </c>
      <c r="N9" s="125" t="e">
        <f ca="1"/>
        <v>#NAME?</v>
      </c>
      <c r="O9" s="125" t="e">
        <f ca="1"/>
        <v>#NAME?</v>
      </c>
      <c r="P9" s="125" t="e">
        <f ca="1"/>
        <v>#NAME?</v>
      </c>
      <c r="Q9" s="125" t="e">
        <f ca="1"/>
        <v>#NAME?</v>
      </c>
      <c r="R9" s="125" t="e">
        <f ca="1"/>
        <v>#NAME?</v>
      </c>
      <c r="S9" s="125" t="e">
        <f ca="1"/>
        <v>#NAME?</v>
      </c>
      <c r="T9" s="125" t="e">
        <f ca="1"/>
        <v>#NAME?</v>
      </c>
      <c r="U9" s="125" t="e">
        <f ca="1"/>
        <v>#NAME?</v>
      </c>
      <c r="V9" s="125" t="e">
        <f ca="1"/>
        <v>#NAME?</v>
      </c>
      <c r="W9" s="125" t="e">
        <f ca="1"/>
        <v>#NAME?</v>
      </c>
      <c r="X9" s="125" t="e">
        <f ca="1"/>
        <v>#NAME?</v>
      </c>
      <c r="Y9" s="125" t="e">
        <f ca="1"/>
        <v>#NAME?</v>
      </c>
      <c r="Z9" s="125" t="e">
        <f ca="1"/>
        <v>#NAME?</v>
      </c>
      <c r="AA9" t="e">
        <f ca="1"/>
        <v>#NAME?</v>
      </c>
      <c r="AB9" t="e">
        <f ca="1"/>
        <v>#NAME?</v>
      </c>
      <c r="AC9" t="e">
        <f ca="1"/>
        <v>#NAME?</v>
      </c>
      <c r="AD9" t="e">
        <f ca="1"/>
        <v>#NAME?</v>
      </c>
      <c r="AE9" t="e">
        <f ca="1"/>
        <v>#NAME?</v>
      </c>
      <c r="AF9" t="e">
        <f ca="1"/>
        <v>#NAME?</v>
      </c>
      <c r="AG9" t="e">
        <f ca="1"/>
        <v>#NAME?</v>
      </c>
      <c r="AH9" t="e">
        <f ca="1"/>
        <v>#NAME?</v>
      </c>
      <c r="AI9" t="e">
        <f ca="1"/>
        <v>#NAME?</v>
      </c>
      <c r="AJ9" t="e">
        <f ca="1"/>
        <v>#NAME?</v>
      </c>
      <c r="AK9" t="e">
        <f ca="1"/>
        <v>#NAME?</v>
      </c>
      <c r="AL9" t="e">
        <f ca="1"/>
        <v>#NAME?</v>
      </c>
      <c r="AM9" t="e">
        <f ca="1"/>
        <v>#NAME?</v>
      </c>
      <c r="AN9" t="e">
        <f ca="1"/>
        <v>#NAME?</v>
      </c>
      <c r="AO9" t="e">
        <f ca="1"/>
        <v>#NAME?</v>
      </c>
      <c r="AP9" t="e">
        <f ca="1"/>
        <v>#NAME?</v>
      </c>
      <c r="AQ9" t="e">
        <f ca="1"/>
        <v>#NAME?</v>
      </c>
      <c r="AR9" t="e">
        <f ca="1"/>
        <v>#NAME?</v>
      </c>
      <c r="AS9" t="e">
        <f ca="1"/>
        <v>#NAME?</v>
      </c>
      <c r="AT9" t="e">
        <f ca="1"/>
        <v>#NAME?</v>
      </c>
      <c r="AU9" t="e">
        <f ca="1"/>
        <v>#NAME?</v>
      </c>
      <c r="AV9" t="e">
        <f ca="1"/>
        <v>#NAME?</v>
      </c>
      <c r="AW9" t="e">
        <f ca="1"/>
        <v>#NAME?</v>
      </c>
      <c r="AX9" t="e">
        <f ca="1"/>
        <v>#NAME?</v>
      </c>
      <c r="AY9" t="e">
        <f ca="1"/>
        <v>#NAME?</v>
      </c>
      <c r="AZ9" t="e">
        <f ca="1"/>
        <v>#NAME?</v>
      </c>
      <c r="BA9" t="e">
        <f ca="1"/>
        <v>#NAME?</v>
      </c>
      <c r="BB9" t="e">
        <f ca="1"/>
        <v>#NAME?</v>
      </c>
      <c r="BC9" t="e">
        <f ca="1"/>
        <v>#NAME?</v>
      </c>
      <c r="BD9" t="e">
        <f ca="1"/>
        <v>#NAME?</v>
      </c>
      <c r="BE9" t="e">
        <f ca="1"/>
        <v>#NAME?</v>
      </c>
      <c r="BF9" t="e">
        <f ca="1"/>
        <v>#NAME?</v>
      </c>
      <c r="BG9" t="e">
        <f ca="1"/>
        <v>#NAME?</v>
      </c>
      <c r="BH9" t="e">
        <f ca="1"/>
        <v>#NAME?</v>
      </c>
      <c r="BI9" t="e">
        <f ca="1"/>
        <v>#NAME?</v>
      </c>
      <c r="BJ9" t="e">
        <f ca="1"/>
        <v>#NAME?</v>
      </c>
      <c r="BK9" t="e">
        <f ca="1"/>
        <v>#NAME?</v>
      </c>
      <c r="BL9" t="e">
        <f ca="1"/>
        <v>#NAME?</v>
      </c>
      <c r="BM9" t="e">
        <f ca="1"/>
        <v>#NAME?</v>
      </c>
      <c r="BN9" t="e">
        <f ca="1"/>
        <v>#NAME?</v>
      </c>
      <c r="BO9" t="e">
        <f ca="1"/>
        <v>#NAME?</v>
      </c>
      <c r="BP9" t="e">
        <f ca="1"/>
        <v>#NAME?</v>
      </c>
      <c r="BQ9" t="e">
        <f ca="1"/>
        <v>#NAME?</v>
      </c>
      <c r="BR9" t="e">
        <f ca="1"/>
        <v>#NAME?</v>
      </c>
      <c r="BS9" t="e">
        <f ca="1"/>
        <v>#NAME?</v>
      </c>
      <c r="BT9" t="e">
        <f ca="1"/>
        <v>#NAME?</v>
      </c>
      <c r="BU9" t="e">
        <f ca="1"/>
        <v>#NAME?</v>
      </c>
      <c r="BV9" t="e">
        <f ca="1"/>
        <v>#NAME?</v>
      </c>
      <c r="BW9" t="e">
        <f ca="1"/>
        <v>#NAME?</v>
      </c>
      <c r="BX9" t="e">
        <f ca="1"/>
        <v>#NAME?</v>
      </c>
      <c r="BY9" t="e">
        <f ca="1"/>
        <v>#NAME?</v>
      </c>
      <c r="BZ9" t="e">
        <f ca="1"/>
        <v>#NAME?</v>
      </c>
      <c r="CA9" t="e">
        <f ca="1"/>
        <v>#NAME?</v>
      </c>
      <c r="CB9" t="e">
        <f ca="1"/>
        <v>#NAME?</v>
      </c>
      <c r="CC9" t="e">
        <f ca="1"/>
        <v>#NAME?</v>
      </c>
      <c r="CD9" t="e">
        <f ca="1"/>
        <v>#NAME?</v>
      </c>
      <c r="CE9" t="e">
        <f ca="1"/>
        <v>#NAME?</v>
      </c>
      <c r="CF9" t="e">
        <f ca="1"/>
        <v>#NAME?</v>
      </c>
      <c r="CG9" t="e">
        <f ca="1"/>
        <v>#NAME?</v>
      </c>
      <c r="CH9" t="e">
        <f ca="1"/>
        <v>#NAME?</v>
      </c>
      <c r="CI9" t="e">
        <f ca="1"/>
        <v>#NAME?</v>
      </c>
      <c r="CJ9" t="e">
        <f ca="1"/>
        <v>#NAME?</v>
      </c>
      <c r="CK9" t="e">
        <f ca="1"/>
        <v>#NAME?</v>
      </c>
      <c r="CL9" t="e">
        <f ca="1"/>
        <v>#NAME?</v>
      </c>
      <c r="CM9" t="e">
        <f ca="1"/>
        <v>#NAME?</v>
      </c>
      <c r="CN9" t="e">
        <f ca="1"/>
        <v>#NAME?</v>
      </c>
      <c r="CO9" t="e">
        <f ca="1"/>
        <v>#NAME?</v>
      </c>
      <c r="CP9" t="e">
        <f ca="1"/>
        <v>#NAME?</v>
      </c>
      <c r="CQ9" t="e">
        <f ca="1"/>
        <v>#NAME?</v>
      </c>
      <c r="CR9" t="e">
        <f ca="1"/>
        <v>#NAME?</v>
      </c>
      <c r="CS9" t="e">
        <f ca="1"/>
        <v>#NAME?</v>
      </c>
      <c r="CT9" t="e">
        <f ca="1"/>
        <v>#NAME?</v>
      </c>
      <c r="CU9" t="e">
        <f ca="1"/>
        <v>#NAME?</v>
      </c>
      <c r="CV9" t="e">
        <f ca="1"/>
        <v>#NAME?</v>
      </c>
      <c r="CW9" t="e">
        <f ca="1"/>
        <v>#NAME?</v>
      </c>
      <c r="CX9" t="e">
        <f ca="1"/>
        <v>#NAME?</v>
      </c>
      <c r="CY9" t="e">
        <f ca="1"/>
        <v>#NAME?</v>
      </c>
      <c r="CZ9" t="e">
        <f ca="1"/>
        <v>#NAME?</v>
      </c>
      <c r="DA9" t="e">
        <f ca="1"/>
        <v>#NAME?</v>
      </c>
      <c r="DB9" t="e">
        <f ca="1"/>
        <v>#NAME?</v>
      </c>
    </row>
    <row r="10" spans="1:106" ht="13.2">
      <c r="A10" s="125"/>
      <c r="B10" s="134"/>
      <c r="C10" s="135"/>
      <c r="D10" s="135"/>
      <c r="E10" s="136"/>
      <c r="F10" s="125"/>
      <c r="G10" s="125" t="e">
        <f t="array" aca="1" ref="G10:DB10" ca="1">_xludf.IFNA(TRANSPOSE(OFFSET($B$3,1,MATCH('Inventory List'!$C13,$B$3:$E$3,0)-1,100,1)),"")</f>
        <v>#NAME?</v>
      </c>
      <c r="H10" s="125" t="e">
        <f ca="1"/>
        <v>#NAME?</v>
      </c>
      <c r="I10" s="125" t="e">
        <f ca="1"/>
        <v>#NAME?</v>
      </c>
      <c r="J10" s="125" t="e">
        <f ca="1"/>
        <v>#NAME?</v>
      </c>
      <c r="K10" s="125" t="e">
        <f ca="1"/>
        <v>#NAME?</v>
      </c>
      <c r="L10" s="125" t="e">
        <f ca="1"/>
        <v>#NAME?</v>
      </c>
      <c r="M10" s="125" t="e">
        <f ca="1"/>
        <v>#NAME?</v>
      </c>
      <c r="N10" s="125" t="e">
        <f ca="1"/>
        <v>#NAME?</v>
      </c>
      <c r="O10" s="125" t="e">
        <f ca="1"/>
        <v>#NAME?</v>
      </c>
      <c r="P10" s="125" t="e">
        <f ca="1"/>
        <v>#NAME?</v>
      </c>
      <c r="Q10" s="125" t="e">
        <f ca="1"/>
        <v>#NAME?</v>
      </c>
      <c r="R10" s="125" t="e">
        <f ca="1"/>
        <v>#NAME?</v>
      </c>
      <c r="S10" s="125" t="e">
        <f ca="1"/>
        <v>#NAME?</v>
      </c>
      <c r="T10" s="125" t="e">
        <f ca="1"/>
        <v>#NAME?</v>
      </c>
      <c r="U10" s="125" t="e">
        <f ca="1"/>
        <v>#NAME?</v>
      </c>
      <c r="V10" s="125" t="e">
        <f ca="1"/>
        <v>#NAME?</v>
      </c>
      <c r="W10" s="125" t="e">
        <f ca="1"/>
        <v>#NAME?</v>
      </c>
      <c r="X10" s="125" t="e">
        <f ca="1"/>
        <v>#NAME?</v>
      </c>
      <c r="Y10" s="125" t="e">
        <f ca="1"/>
        <v>#NAME?</v>
      </c>
      <c r="Z10" s="125" t="e">
        <f ca="1"/>
        <v>#NAME?</v>
      </c>
      <c r="AA10" t="e">
        <f ca="1"/>
        <v>#NAME?</v>
      </c>
      <c r="AB10" t="e">
        <f ca="1"/>
        <v>#NAME?</v>
      </c>
      <c r="AC10" t="e">
        <f ca="1"/>
        <v>#NAME?</v>
      </c>
      <c r="AD10" t="e">
        <f ca="1"/>
        <v>#NAME?</v>
      </c>
      <c r="AE10" t="e">
        <f ca="1"/>
        <v>#NAME?</v>
      </c>
      <c r="AF10" t="e">
        <f ca="1"/>
        <v>#NAME?</v>
      </c>
      <c r="AG10" t="e">
        <f ca="1"/>
        <v>#NAME?</v>
      </c>
      <c r="AH10" t="e">
        <f ca="1"/>
        <v>#NAME?</v>
      </c>
      <c r="AI10" t="e">
        <f ca="1"/>
        <v>#NAME?</v>
      </c>
      <c r="AJ10" t="e">
        <f ca="1"/>
        <v>#NAME?</v>
      </c>
      <c r="AK10" t="e">
        <f ca="1"/>
        <v>#NAME?</v>
      </c>
      <c r="AL10" t="e">
        <f ca="1"/>
        <v>#NAME?</v>
      </c>
      <c r="AM10" t="e">
        <f ca="1"/>
        <v>#NAME?</v>
      </c>
      <c r="AN10" t="e">
        <f ca="1"/>
        <v>#NAME?</v>
      </c>
      <c r="AO10" t="e">
        <f ca="1"/>
        <v>#NAME?</v>
      </c>
      <c r="AP10" t="e">
        <f ca="1"/>
        <v>#NAME?</v>
      </c>
      <c r="AQ10" t="e">
        <f ca="1"/>
        <v>#NAME?</v>
      </c>
      <c r="AR10" t="e">
        <f ca="1"/>
        <v>#NAME?</v>
      </c>
      <c r="AS10" t="e">
        <f ca="1"/>
        <v>#NAME?</v>
      </c>
      <c r="AT10" t="e">
        <f ca="1"/>
        <v>#NAME?</v>
      </c>
      <c r="AU10" t="e">
        <f ca="1"/>
        <v>#NAME?</v>
      </c>
      <c r="AV10" t="e">
        <f ca="1"/>
        <v>#NAME?</v>
      </c>
      <c r="AW10" t="e">
        <f ca="1"/>
        <v>#NAME?</v>
      </c>
      <c r="AX10" t="e">
        <f ca="1"/>
        <v>#NAME?</v>
      </c>
      <c r="AY10" t="e">
        <f ca="1"/>
        <v>#NAME?</v>
      </c>
      <c r="AZ10" t="e">
        <f ca="1"/>
        <v>#NAME?</v>
      </c>
      <c r="BA10" t="e">
        <f ca="1"/>
        <v>#NAME?</v>
      </c>
      <c r="BB10" t="e">
        <f ca="1"/>
        <v>#NAME?</v>
      </c>
      <c r="BC10" t="e">
        <f ca="1"/>
        <v>#NAME?</v>
      </c>
      <c r="BD10" t="e">
        <f ca="1"/>
        <v>#NAME?</v>
      </c>
      <c r="BE10" t="e">
        <f ca="1"/>
        <v>#NAME?</v>
      </c>
      <c r="BF10" t="e">
        <f ca="1"/>
        <v>#NAME?</v>
      </c>
      <c r="BG10" t="e">
        <f ca="1"/>
        <v>#NAME?</v>
      </c>
      <c r="BH10" t="e">
        <f ca="1"/>
        <v>#NAME?</v>
      </c>
      <c r="BI10" t="e">
        <f ca="1"/>
        <v>#NAME?</v>
      </c>
      <c r="BJ10" t="e">
        <f ca="1"/>
        <v>#NAME?</v>
      </c>
      <c r="BK10" t="e">
        <f ca="1"/>
        <v>#NAME?</v>
      </c>
      <c r="BL10" t="e">
        <f ca="1"/>
        <v>#NAME?</v>
      </c>
      <c r="BM10" t="e">
        <f ca="1"/>
        <v>#NAME?</v>
      </c>
      <c r="BN10" t="e">
        <f ca="1"/>
        <v>#NAME?</v>
      </c>
      <c r="BO10" t="e">
        <f ca="1"/>
        <v>#NAME?</v>
      </c>
      <c r="BP10" t="e">
        <f ca="1"/>
        <v>#NAME?</v>
      </c>
      <c r="BQ10" t="e">
        <f ca="1"/>
        <v>#NAME?</v>
      </c>
      <c r="BR10" t="e">
        <f ca="1"/>
        <v>#NAME?</v>
      </c>
      <c r="BS10" t="e">
        <f ca="1"/>
        <v>#NAME?</v>
      </c>
      <c r="BT10" t="e">
        <f ca="1"/>
        <v>#NAME?</v>
      </c>
      <c r="BU10" t="e">
        <f ca="1"/>
        <v>#NAME?</v>
      </c>
      <c r="BV10" t="e">
        <f ca="1"/>
        <v>#NAME?</v>
      </c>
      <c r="BW10" t="e">
        <f ca="1"/>
        <v>#NAME?</v>
      </c>
      <c r="BX10" t="e">
        <f ca="1"/>
        <v>#NAME?</v>
      </c>
      <c r="BY10" t="e">
        <f ca="1"/>
        <v>#NAME?</v>
      </c>
      <c r="BZ10" t="e">
        <f ca="1"/>
        <v>#NAME?</v>
      </c>
      <c r="CA10" t="e">
        <f ca="1"/>
        <v>#NAME?</v>
      </c>
      <c r="CB10" t="e">
        <f ca="1"/>
        <v>#NAME?</v>
      </c>
      <c r="CC10" t="e">
        <f ca="1"/>
        <v>#NAME?</v>
      </c>
      <c r="CD10" t="e">
        <f ca="1"/>
        <v>#NAME?</v>
      </c>
      <c r="CE10" t="e">
        <f ca="1"/>
        <v>#NAME?</v>
      </c>
      <c r="CF10" t="e">
        <f ca="1"/>
        <v>#NAME?</v>
      </c>
      <c r="CG10" t="e">
        <f ca="1"/>
        <v>#NAME?</v>
      </c>
      <c r="CH10" t="e">
        <f ca="1"/>
        <v>#NAME?</v>
      </c>
      <c r="CI10" t="e">
        <f ca="1"/>
        <v>#NAME?</v>
      </c>
      <c r="CJ10" t="e">
        <f ca="1"/>
        <v>#NAME?</v>
      </c>
      <c r="CK10" t="e">
        <f ca="1"/>
        <v>#NAME?</v>
      </c>
      <c r="CL10" t="e">
        <f ca="1"/>
        <v>#NAME?</v>
      </c>
      <c r="CM10" t="e">
        <f ca="1"/>
        <v>#NAME?</v>
      </c>
      <c r="CN10" t="e">
        <f ca="1"/>
        <v>#NAME?</v>
      </c>
      <c r="CO10" t="e">
        <f ca="1"/>
        <v>#NAME?</v>
      </c>
      <c r="CP10" t="e">
        <f ca="1"/>
        <v>#NAME?</v>
      </c>
      <c r="CQ10" t="e">
        <f ca="1"/>
        <v>#NAME?</v>
      </c>
      <c r="CR10" t="e">
        <f ca="1"/>
        <v>#NAME?</v>
      </c>
      <c r="CS10" t="e">
        <f ca="1"/>
        <v>#NAME?</v>
      </c>
      <c r="CT10" t="e">
        <f ca="1"/>
        <v>#NAME?</v>
      </c>
      <c r="CU10" t="e">
        <f ca="1"/>
        <v>#NAME?</v>
      </c>
      <c r="CV10" t="e">
        <f ca="1"/>
        <v>#NAME?</v>
      </c>
      <c r="CW10" t="e">
        <f ca="1"/>
        <v>#NAME?</v>
      </c>
      <c r="CX10" t="e">
        <f ca="1"/>
        <v>#NAME?</v>
      </c>
      <c r="CY10" t="e">
        <f ca="1"/>
        <v>#NAME?</v>
      </c>
      <c r="CZ10" t="e">
        <f ca="1"/>
        <v>#NAME?</v>
      </c>
      <c r="DA10" t="e">
        <f ca="1"/>
        <v>#NAME?</v>
      </c>
      <c r="DB10" t="e">
        <f ca="1"/>
        <v>#NAME?</v>
      </c>
    </row>
    <row r="11" spans="1:106" ht="13.2">
      <c r="A11" s="125"/>
      <c r="B11" s="134"/>
      <c r="C11" s="135"/>
      <c r="D11" s="135"/>
      <c r="E11" s="136"/>
      <c r="F11" s="125"/>
      <c r="G11" s="125" t="e">
        <f t="array" aca="1" ref="G11:DB11" ca="1">_xludf.IFNA(TRANSPOSE(OFFSET($B$3,1,MATCH('Inventory List'!$C14,$B$3:$E$3,0)-1,100,1)),"")</f>
        <v>#NAME?</v>
      </c>
      <c r="H11" s="125" t="e">
        <f ca="1"/>
        <v>#NAME?</v>
      </c>
      <c r="I11" s="125" t="e">
        <f ca="1"/>
        <v>#NAME?</v>
      </c>
      <c r="J11" s="125" t="e">
        <f ca="1"/>
        <v>#NAME?</v>
      </c>
      <c r="K11" s="125" t="e">
        <f ca="1"/>
        <v>#NAME?</v>
      </c>
      <c r="L11" s="125" t="e">
        <f ca="1"/>
        <v>#NAME?</v>
      </c>
      <c r="M11" s="125" t="e">
        <f ca="1"/>
        <v>#NAME?</v>
      </c>
      <c r="N11" s="125" t="e">
        <f ca="1"/>
        <v>#NAME?</v>
      </c>
      <c r="O11" s="125" t="e">
        <f ca="1"/>
        <v>#NAME?</v>
      </c>
      <c r="P11" s="125" t="e">
        <f ca="1"/>
        <v>#NAME?</v>
      </c>
      <c r="Q11" s="125" t="e">
        <f ca="1"/>
        <v>#NAME?</v>
      </c>
      <c r="R11" s="125" t="e">
        <f ca="1"/>
        <v>#NAME?</v>
      </c>
      <c r="S11" s="125" t="e">
        <f ca="1"/>
        <v>#NAME?</v>
      </c>
      <c r="T11" s="125" t="e">
        <f ca="1"/>
        <v>#NAME?</v>
      </c>
      <c r="U11" s="125" t="e">
        <f ca="1"/>
        <v>#NAME?</v>
      </c>
      <c r="V11" s="125" t="e">
        <f ca="1"/>
        <v>#NAME?</v>
      </c>
      <c r="W11" s="125" t="e">
        <f ca="1"/>
        <v>#NAME?</v>
      </c>
      <c r="X11" s="125" t="e">
        <f ca="1"/>
        <v>#NAME?</v>
      </c>
      <c r="Y11" s="125" t="e">
        <f ca="1"/>
        <v>#NAME?</v>
      </c>
      <c r="Z11" s="125" t="e">
        <f ca="1"/>
        <v>#NAME?</v>
      </c>
      <c r="AA11" t="e">
        <f ca="1"/>
        <v>#NAME?</v>
      </c>
      <c r="AB11" t="e">
        <f ca="1"/>
        <v>#NAME?</v>
      </c>
      <c r="AC11" t="e">
        <f ca="1"/>
        <v>#NAME?</v>
      </c>
      <c r="AD11" t="e">
        <f ca="1"/>
        <v>#NAME?</v>
      </c>
      <c r="AE11" t="e">
        <f ca="1"/>
        <v>#NAME?</v>
      </c>
      <c r="AF11" t="e">
        <f ca="1"/>
        <v>#NAME?</v>
      </c>
      <c r="AG11" t="e">
        <f ca="1"/>
        <v>#NAME?</v>
      </c>
      <c r="AH11" t="e">
        <f ca="1"/>
        <v>#NAME?</v>
      </c>
      <c r="AI11" t="e">
        <f ca="1"/>
        <v>#NAME?</v>
      </c>
      <c r="AJ11" t="e">
        <f ca="1"/>
        <v>#NAME?</v>
      </c>
      <c r="AK11" t="e">
        <f ca="1"/>
        <v>#NAME?</v>
      </c>
      <c r="AL11" t="e">
        <f ca="1"/>
        <v>#NAME?</v>
      </c>
      <c r="AM11" t="e">
        <f ca="1"/>
        <v>#NAME?</v>
      </c>
      <c r="AN11" t="e">
        <f ca="1"/>
        <v>#NAME?</v>
      </c>
      <c r="AO11" t="e">
        <f ca="1"/>
        <v>#NAME?</v>
      </c>
      <c r="AP11" t="e">
        <f ca="1"/>
        <v>#NAME?</v>
      </c>
      <c r="AQ11" t="e">
        <f ca="1"/>
        <v>#NAME?</v>
      </c>
      <c r="AR11" t="e">
        <f ca="1"/>
        <v>#NAME?</v>
      </c>
      <c r="AS11" t="e">
        <f ca="1"/>
        <v>#NAME?</v>
      </c>
      <c r="AT11" t="e">
        <f ca="1"/>
        <v>#NAME?</v>
      </c>
      <c r="AU11" t="e">
        <f ca="1"/>
        <v>#NAME?</v>
      </c>
      <c r="AV11" t="e">
        <f ca="1"/>
        <v>#NAME?</v>
      </c>
      <c r="AW11" t="e">
        <f ca="1"/>
        <v>#NAME?</v>
      </c>
      <c r="AX11" t="e">
        <f ca="1"/>
        <v>#NAME?</v>
      </c>
      <c r="AY11" t="e">
        <f ca="1"/>
        <v>#NAME?</v>
      </c>
      <c r="AZ11" t="e">
        <f ca="1"/>
        <v>#NAME?</v>
      </c>
      <c r="BA11" t="e">
        <f ca="1"/>
        <v>#NAME?</v>
      </c>
      <c r="BB11" t="e">
        <f ca="1"/>
        <v>#NAME?</v>
      </c>
      <c r="BC11" t="e">
        <f ca="1"/>
        <v>#NAME?</v>
      </c>
      <c r="BD11" t="e">
        <f ca="1"/>
        <v>#NAME?</v>
      </c>
      <c r="BE11" t="e">
        <f ca="1"/>
        <v>#NAME?</v>
      </c>
      <c r="BF11" t="e">
        <f ca="1"/>
        <v>#NAME?</v>
      </c>
      <c r="BG11" t="e">
        <f ca="1"/>
        <v>#NAME?</v>
      </c>
      <c r="BH11" t="e">
        <f ca="1"/>
        <v>#NAME?</v>
      </c>
      <c r="BI11" t="e">
        <f ca="1"/>
        <v>#NAME?</v>
      </c>
      <c r="BJ11" t="e">
        <f ca="1"/>
        <v>#NAME?</v>
      </c>
      <c r="BK11" t="e">
        <f ca="1"/>
        <v>#NAME?</v>
      </c>
      <c r="BL11" t="e">
        <f ca="1"/>
        <v>#NAME?</v>
      </c>
      <c r="BM11" t="e">
        <f ca="1"/>
        <v>#NAME?</v>
      </c>
      <c r="BN11" t="e">
        <f ca="1"/>
        <v>#NAME?</v>
      </c>
      <c r="BO11" t="e">
        <f ca="1"/>
        <v>#NAME?</v>
      </c>
      <c r="BP11" t="e">
        <f ca="1"/>
        <v>#NAME?</v>
      </c>
      <c r="BQ11" t="e">
        <f ca="1"/>
        <v>#NAME?</v>
      </c>
      <c r="BR11" t="e">
        <f ca="1"/>
        <v>#NAME?</v>
      </c>
      <c r="BS11" t="e">
        <f ca="1"/>
        <v>#NAME?</v>
      </c>
      <c r="BT11" t="e">
        <f ca="1"/>
        <v>#NAME?</v>
      </c>
      <c r="BU11" t="e">
        <f ca="1"/>
        <v>#NAME?</v>
      </c>
      <c r="BV11" t="e">
        <f ca="1"/>
        <v>#NAME?</v>
      </c>
      <c r="BW11" t="e">
        <f ca="1"/>
        <v>#NAME?</v>
      </c>
      <c r="BX11" t="e">
        <f ca="1"/>
        <v>#NAME?</v>
      </c>
      <c r="BY11" t="e">
        <f ca="1"/>
        <v>#NAME?</v>
      </c>
      <c r="BZ11" t="e">
        <f ca="1"/>
        <v>#NAME?</v>
      </c>
      <c r="CA11" t="e">
        <f ca="1"/>
        <v>#NAME?</v>
      </c>
      <c r="CB11" t="e">
        <f ca="1"/>
        <v>#NAME?</v>
      </c>
      <c r="CC11" t="e">
        <f ca="1"/>
        <v>#NAME?</v>
      </c>
      <c r="CD11" t="e">
        <f ca="1"/>
        <v>#NAME?</v>
      </c>
      <c r="CE11" t="e">
        <f ca="1"/>
        <v>#NAME?</v>
      </c>
      <c r="CF11" t="e">
        <f ca="1"/>
        <v>#NAME?</v>
      </c>
      <c r="CG11" t="e">
        <f ca="1"/>
        <v>#NAME?</v>
      </c>
      <c r="CH11" t="e">
        <f ca="1"/>
        <v>#NAME?</v>
      </c>
      <c r="CI11" t="e">
        <f ca="1"/>
        <v>#NAME?</v>
      </c>
      <c r="CJ11" t="e">
        <f ca="1"/>
        <v>#NAME?</v>
      </c>
      <c r="CK11" t="e">
        <f ca="1"/>
        <v>#NAME?</v>
      </c>
      <c r="CL11" t="e">
        <f ca="1"/>
        <v>#NAME?</v>
      </c>
      <c r="CM11" t="e">
        <f ca="1"/>
        <v>#NAME?</v>
      </c>
      <c r="CN11" t="e">
        <f ca="1"/>
        <v>#NAME?</v>
      </c>
      <c r="CO11" t="e">
        <f ca="1"/>
        <v>#NAME?</v>
      </c>
      <c r="CP11" t="e">
        <f ca="1"/>
        <v>#NAME?</v>
      </c>
      <c r="CQ11" t="e">
        <f ca="1"/>
        <v>#NAME?</v>
      </c>
      <c r="CR11" t="e">
        <f ca="1"/>
        <v>#NAME?</v>
      </c>
      <c r="CS11" t="e">
        <f ca="1"/>
        <v>#NAME?</v>
      </c>
      <c r="CT11" t="e">
        <f ca="1"/>
        <v>#NAME?</v>
      </c>
      <c r="CU11" t="e">
        <f ca="1"/>
        <v>#NAME?</v>
      </c>
      <c r="CV11" t="e">
        <f ca="1"/>
        <v>#NAME?</v>
      </c>
      <c r="CW11" t="e">
        <f ca="1"/>
        <v>#NAME?</v>
      </c>
      <c r="CX11" t="e">
        <f ca="1"/>
        <v>#NAME?</v>
      </c>
      <c r="CY11" t="e">
        <f ca="1"/>
        <v>#NAME?</v>
      </c>
      <c r="CZ11" t="e">
        <f ca="1"/>
        <v>#NAME?</v>
      </c>
      <c r="DA11" t="e">
        <f ca="1"/>
        <v>#NAME?</v>
      </c>
      <c r="DB11" t="e">
        <f ca="1"/>
        <v>#NAME?</v>
      </c>
    </row>
    <row r="12" spans="1:106" ht="13.2">
      <c r="A12" s="125"/>
      <c r="B12" s="134"/>
      <c r="C12" s="135"/>
      <c r="D12" s="135"/>
      <c r="E12" s="136"/>
      <c r="F12" s="125"/>
      <c r="G12" s="125" t="e">
        <f t="array" aca="1" ref="G12:DB12" ca="1">_xludf.IFNA(TRANSPOSE(OFFSET($B$3,1,MATCH('Inventory List'!$C15,$B$3:$E$3,0)-1,100,1)),"")</f>
        <v>#NAME?</v>
      </c>
      <c r="H12" s="125" t="e">
        <f ca="1"/>
        <v>#NAME?</v>
      </c>
      <c r="I12" s="125" t="e">
        <f ca="1"/>
        <v>#NAME?</v>
      </c>
      <c r="J12" s="125" t="e">
        <f ca="1"/>
        <v>#NAME?</v>
      </c>
      <c r="K12" s="125" t="e">
        <f ca="1"/>
        <v>#NAME?</v>
      </c>
      <c r="L12" s="125" t="e">
        <f ca="1"/>
        <v>#NAME?</v>
      </c>
      <c r="M12" s="125" t="e">
        <f ca="1"/>
        <v>#NAME?</v>
      </c>
      <c r="N12" s="125" t="e">
        <f ca="1"/>
        <v>#NAME?</v>
      </c>
      <c r="O12" s="125" t="e">
        <f ca="1"/>
        <v>#NAME?</v>
      </c>
      <c r="P12" s="125" t="e">
        <f ca="1"/>
        <v>#NAME?</v>
      </c>
      <c r="Q12" s="125" t="e">
        <f ca="1"/>
        <v>#NAME?</v>
      </c>
      <c r="R12" s="125" t="e">
        <f ca="1"/>
        <v>#NAME?</v>
      </c>
      <c r="S12" s="125" t="e">
        <f ca="1"/>
        <v>#NAME?</v>
      </c>
      <c r="T12" s="125" t="e">
        <f ca="1"/>
        <v>#NAME?</v>
      </c>
      <c r="U12" s="125" t="e">
        <f ca="1"/>
        <v>#NAME?</v>
      </c>
      <c r="V12" s="125" t="e">
        <f ca="1"/>
        <v>#NAME?</v>
      </c>
      <c r="W12" s="125" t="e">
        <f ca="1"/>
        <v>#NAME?</v>
      </c>
      <c r="X12" s="125" t="e">
        <f ca="1"/>
        <v>#NAME?</v>
      </c>
      <c r="Y12" s="125" t="e">
        <f ca="1"/>
        <v>#NAME?</v>
      </c>
      <c r="Z12" s="125" t="e">
        <f ca="1"/>
        <v>#NAME?</v>
      </c>
      <c r="AA12" t="e">
        <f ca="1"/>
        <v>#NAME?</v>
      </c>
      <c r="AB12" t="e">
        <f ca="1"/>
        <v>#NAME?</v>
      </c>
      <c r="AC12" t="e">
        <f ca="1"/>
        <v>#NAME?</v>
      </c>
      <c r="AD12" t="e">
        <f ca="1"/>
        <v>#NAME?</v>
      </c>
      <c r="AE12" t="e">
        <f ca="1"/>
        <v>#NAME?</v>
      </c>
      <c r="AF12" t="e">
        <f ca="1"/>
        <v>#NAME?</v>
      </c>
      <c r="AG12" t="e">
        <f ca="1"/>
        <v>#NAME?</v>
      </c>
      <c r="AH12" t="e">
        <f ca="1"/>
        <v>#NAME?</v>
      </c>
      <c r="AI12" t="e">
        <f ca="1"/>
        <v>#NAME?</v>
      </c>
      <c r="AJ12" t="e">
        <f ca="1"/>
        <v>#NAME?</v>
      </c>
      <c r="AK12" t="e">
        <f ca="1"/>
        <v>#NAME?</v>
      </c>
      <c r="AL12" t="e">
        <f ca="1"/>
        <v>#NAME?</v>
      </c>
      <c r="AM12" t="e">
        <f ca="1"/>
        <v>#NAME?</v>
      </c>
      <c r="AN12" t="e">
        <f ca="1"/>
        <v>#NAME?</v>
      </c>
      <c r="AO12" t="e">
        <f ca="1"/>
        <v>#NAME?</v>
      </c>
      <c r="AP12" t="e">
        <f ca="1"/>
        <v>#NAME?</v>
      </c>
      <c r="AQ12" t="e">
        <f ca="1"/>
        <v>#NAME?</v>
      </c>
      <c r="AR12" t="e">
        <f ca="1"/>
        <v>#NAME?</v>
      </c>
      <c r="AS12" t="e">
        <f ca="1"/>
        <v>#NAME?</v>
      </c>
      <c r="AT12" t="e">
        <f ca="1"/>
        <v>#NAME?</v>
      </c>
      <c r="AU12" t="e">
        <f ca="1"/>
        <v>#NAME?</v>
      </c>
      <c r="AV12" t="e">
        <f ca="1"/>
        <v>#NAME?</v>
      </c>
      <c r="AW12" t="e">
        <f ca="1"/>
        <v>#NAME?</v>
      </c>
      <c r="AX12" t="e">
        <f ca="1"/>
        <v>#NAME?</v>
      </c>
      <c r="AY12" t="e">
        <f ca="1"/>
        <v>#NAME?</v>
      </c>
      <c r="AZ12" t="e">
        <f ca="1"/>
        <v>#NAME?</v>
      </c>
      <c r="BA12" t="e">
        <f ca="1"/>
        <v>#NAME?</v>
      </c>
      <c r="BB12" t="e">
        <f ca="1"/>
        <v>#NAME?</v>
      </c>
      <c r="BC12" t="e">
        <f ca="1"/>
        <v>#NAME?</v>
      </c>
      <c r="BD12" t="e">
        <f ca="1"/>
        <v>#NAME?</v>
      </c>
      <c r="BE12" t="e">
        <f ca="1"/>
        <v>#NAME?</v>
      </c>
      <c r="BF12" t="e">
        <f ca="1"/>
        <v>#NAME?</v>
      </c>
      <c r="BG12" t="e">
        <f ca="1"/>
        <v>#NAME?</v>
      </c>
      <c r="BH12" t="e">
        <f ca="1"/>
        <v>#NAME?</v>
      </c>
      <c r="BI12" t="e">
        <f ca="1"/>
        <v>#NAME?</v>
      </c>
      <c r="BJ12" t="e">
        <f ca="1"/>
        <v>#NAME?</v>
      </c>
      <c r="BK12" t="e">
        <f ca="1"/>
        <v>#NAME?</v>
      </c>
      <c r="BL12" t="e">
        <f ca="1"/>
        <v>#NAME?</v>
      </c>
      <c r="BM12" t="e">
        <f ca="1"/>
        <v>#NAME?</v>
      </c>
      <c r="BN12" t="e">
        <f ca="1"/>
        <v>#NAME?</v>
      </c>
      <c r="BO12" t="e">
        <f ca="1"/>
        <v>#NAME?</v>
      </c>
      <c r="BP12" t="e">
        <f ca="1"/>
        <v>#NAME?</v>
      </c>
      <c r="BQ12" t="e">
        <f ca="1"/>
        <v>#NAME?</v>
      </c>
      <c r="BR12" t="e">
        <f ca="1"/>
        <v>#NAME?</v>
      </c>
      <c r="BS12" t="e">
        <f ca="1"/>
        <v>#NAME?</v>
      </c>
      <c r="BT12" t="e">
        <f ca="1"/>
        <v>#NAME?</v>
      </c>
      <c r="BU12" t="e">
        <f ca="1"/>
        <v>#NAME?</v>
      </c>
      <c r="BV12" t="e">
        <f ca="1"/>
        <v>#NAME?</v>
      </c>
      <c r="BW12" t="e">
        <f ca="1"/>
        <v>#NAME?</v>
      </c>
      <c r="BX12" t="e">
        <f ca="1"/>
        <v>#NAME?</v>
      </c>
      <c r="BY12" t="e">
        <f ca="1"/>
        <v>#NAME?</v>
      </c>
      <c r="BZ12" t="e">
        <f ca="1"/>
        <v>#NAME?</v>
      </c>
      <c r="CA12" t="e">
        <f ca="1"/>
        <v>#NAME?</v>
      </c>
      <c r="CB12" t="e">
        <f ca="1"/>
        <v>#NAME?</v>
      </c>
      <c r="CC12" t="e">
        <f ca="1"/>
        <v>#NAME?</v>
      </c>
      <c r="CD12" t="e">
        <f ca="1"/>
        <v>#NAME?</v>
      </c>
      <c r="CE12" t="e">
        <f ca="1"/>
        <v>#NAME?</v>
      </c>
      <c r="CF12" t="e">
        <f ca="1"/>
        <v>#NAME?</v>
      </c>
      <c r="CG12" t="e">
        <f ca="1"/>
        <v>#NAME?</v>
      </c>
      <c r="CH12" t="e">
        <f ca="1"/>
        <v>#NAME?</v>
      </c>
      <c r="CI12" t="e">
        <f ca="1"/>
        <v>#NAME?</v>
      </c>
      <c r="CJ12" t="e">
        <f ca="1"/>
        <v>#NAME?</v>
      </c>
      <c r="CK12" t="e">
        <f ca="1"/>
        <v>#NAME?</v>
      </c>
      <c r="CL12" t="e">
        <f ca="1"/>
        <v>#NAME?</v>
      </c>
      <c r="CM12" t="e">
        <f ca="1"/>
        <v>#NAME?</v>
      </c>
      <c r="CN12" t="e">
        <f ca="1"/>
        <v>#NAME?</v>
      </c>
      <c r="CO12" t="e">
        <f ca="1"/>
        <v>#NAME?</v>
      </c>
      <c r="CP12" t="e">
        <f ca="1"/>
        <v>#NAME?</v>
      </c>
      <c r="CQ12" t="e">
        <f ca="1"/>
        <v>#NAME?</v>
      </c>
      <c r="CR12" t="e">
        <f ca="1"/>
        <v>#NAME?</v>
      </c>
      <c r="CS12" t="e">
        <f ca="1"/>
        <v>#NAME?</v>
      </c>
      <c r="CT12" t="e">
        <f ca="1"/>
        <v>#NAME?</v>
      </c>
      <c r="CU12" t="e">
        <f ca="1"/>
        <v>#NAME?</v>
      </c>
      <c r="CV12" t="e">
        <f ca="1"/>
        <v>#NAME?</v>
      </c>
      <c r="CW12" t="e">
        <f ca="1"/>
        <v>#NAME?</v>
      </c>
      <c r="CX12" t="e">
        <f ca="1"/>
        <v>#NAME?</v>
      </c>
      <c r="CY12" t="e">
        <f ca="1"/>
        <v>#NAME?</v>
      </c>
      <c r="CZ12" t="e">
        <f ca="1"/>
        <v>#NAME?</v>
      </c>
      <c r="DA12" t="e">
        <f ca="1"/>
        <v>#NAME?</v>
      </c>
      <c r="DB12" t="e">
        <f ca="1"/>
        <v>#NAME?</v>
      </c>
    </row>
    <row r="13" spans="1:106" ht="13.2">
      <c r="A13" s="125"/>
      <c r="B13" s="134"/>
      <c r="C13" s="135"/>
      <c r="D13" s="135"/>
      <c r="E13" s="136"/>
      <c r="F13" s="125"/>
      <c r="G13" s="125" t="e">
        <f t="array" aca="1" ref="G13:DB13" ca="1">_xludf.IFNA(TRANSPOSE(OFFSET($B$3,1,MATCH('Inventory List'!$C16,$B$3:$E$3,0)-1,100,1)),"")</f>
        <v>#NAME?</v>
      </c>
      <c r="H13" s="125" t="e">
        <f ca="1"/>
        <v>#NAME?</v>
      </c>
      <c r="I13" s="125" t="e">
        <f ca="1"/>
        <v>#NAME?</v>
      </c>
      <c r="J13" s="125" t="e">
        <f ca="1"/>
        <v>#NAME?</v>
      </c>
      <c r="K13" s="125" t="e">
        <f ca="1"/>
        <v>#NAME?</v>
      </c>
      <c r="L13" s="125" t="e">
        <f ca="1"/>
        <v>#NAME?</v>
      </c>
      <c r="M13" s="125" t="e">
        <f ca="1"/>
        <v>#NAME?</v>
      </c>
      <c r="N13" s="125" t="e">
        <f ca="1"/>
        <v>#NAME?</v>
      </c>
      <c r="O13" s="125" t="e">
        <f ca="1"/>
        <v>#NAME?</v>
      </c>
      <c r="P13" s="125" t="e">
        <f ca="1"/>
        <v>#NAME?</v>
      </c>
      <c r="Q13" s="125" t="e">
        <f ca="1"/>
        <v>#NAME?</v>
      </c>
      <c r="R13" s="125" t="e">
        <f ca="1"/>
        <v>#NAME?</v>
      </c>
      <c r="S13" s="125" t="e">
        <f ca="1"/>
        <v>#NAME?</v>
      </c>
      <c r="T13" s="125" t="e">
        <f ca="1"/>
        <v>#NAME?</v>
      </c>
      <c r="U13" s="125" t="e">
        <f ca="1"/>
        <v>#NAME?</v>
      </c>
      <c r="V13" s="125" t="e">
        <f ca="1"/>
        <v>#NAME?</v>
      </c>
      <c r="W13" s="125" t="e">
        <f ca="1"/>
        <v>#NAME?</v>
      </c>
      <c r="X13" s="125" t="e">
        <f ca="1"/>
        <v>#NAME?</v>
      </c>
      <c r="Y13" s="125" t="e">
        <f ca="1"/>
        <v>#NAME?</v>
      </c>
      <c r="Z13" s="125" t="e">
        <f ca="1"/>
        <v>#NAME?</v>
      </c>
      <c r="AA13" t="e">
        <f ca="1"/>
        <v>#NAME?</v>
      </c>
      <c r="AB13" t="e">
        <f ca="1"/>
        <v>#NAME?</v>
      </c>
      <c r="AC13" t="e">
        <f ca="1"/>
        <v>#NAME?</v>
      </c>
      <c r="AD13" t="e">
        <f ca="1"/>
        <v>#NAME?</v>
      </c>
      <c r="AE13" t="e">
        <f ca="1"/>
        <v>#NAME?</v>
      </c>
      <c r="AF13" t="e">
        <f ca="1"/>
        <v>#NAME?</v>
      </c>
      <c r="AG13" t="e">
        <f ca="1"/>
        <v>#NAME?</v>
      </c>
      <c r="AH13" t="e">
        <f ca="1"/>
        <v>#NAME?</v>
      </c>
      <c r="AI13" t="e">
        <f ca="1"/>
        <v>#NAME?</v>
      </c>
      <c r="AJ13" t="e">
        <f ca="1"/>
        <v>#NAME?</v>
      </c>
      <c r="AK13" t="e">
        <f ca="1"/>
        <v>#NAME?</v>
      </c>
      <c r="AL13" t="e">
        <f ca="1"/>
        <v>#NAME?</v>
      </c>
      <c r="AM13" t="e">
        <f ca="1"/>
        <v>#NAME?</v>
      </c>
      <c r="AN13" t="e">
        <f ca="1"/>
        <v>#NAME?</v>
      </c>
      <c r="AO13" t="e">
        <f ca="1"/>
        <v>#NAME?</v>
      </c>
      <c r="AP13" t="e">
        <f ca="1"/>
        <v>#NAME?</v>
      </c>
      <c r="AQ13" t="e">
        <f ca="1"/>
        <v>#NAME?</v>
      </c>
      <c r="AR13" t="e">
        <f ca="1"/>
        <v>#NAME?</v>
      </c>
      <c r="AS13" t="e">
        <f ca="1"/>
        <v>#NAME?</v>
      </c>
      <c r="AT13" t="e">
        <f ca="1"/>
        <v>#NAME?</v>
      </c>
      <c r="AU13" t="e">
        <f ca="1"/>
        <v>#NAME?</v>
      </c>
      <c r="AV13" t="e">
        <f ca="1"/>
        <v>#NAME?</v>
      </c>
      <c r="AW13" t="e">
        <f ca="1"/>
        <v>#NAME?</v>
      </c>
      <c r="AX13" t="e">
        <f ca="1"/>
        <v>#NAME?</v>
      </c>
      <c r="AY13" t="e">
        <f ca="1"/>
        <v>#NAME?</v>
      </c>
      <c r="AZ13" t="e">
        <f ca="1"/>
        <v>#NAME?</v>
      </c>
      <c r="BA13" t="e">
        <f ca="1"/>
        <v>#NAME?</v>
      </c>
      <c r="BB13" t="e">
        <f ca="1"/>
        <v>#NAME?</v>
      </c>
      <c r="BC13" t="e">
        <f ca="1"/>
        <v>#NAME?</v>
      </c>
      <c r="BD13" t="e">
        <f ca="1"/>
        <v>#NAME?</v>
      </c>
      <c r="BE13" t="e">
        <f ca="1"/>
        <v>#NAME?</v>
      </c>
      <c r="BF13" t="e">
        <f ca="1"/>
        <v>#NAME?</v>
      </c>
      <c r="BG13" t="e">
        <f ca="1"/>
        <v>#NAME?</v>
      </c>
      <c r="BH13" t="e">
        <f ca="1"/>
        <v>#NAME?</v>
      </c>
      <c r="BI13" t="e">
        <f ca="1"/>
        <v>#NAME?</v>
      </c>
      <c r="BJ13" t="e">
        <f ca="1"/>
        <v>#NAME?</v>
      </c>
      <c r="BK13" t="e">
        <f ca="1"/>
        <v>#NAME?</v>
      </c>
      <c r="BL13" t="e">
        <f ca="1"/>
        <v>#NAME?</v>
      </c>
      <c r="BM13" t="e">
        <f ca="1"/>
        <v>#NAME?</v>
      </c>
      <c r="BN13" t="e">
        <f ca="1"/>
        <v>#NAME?</v>
      </c>
      <c r="BO13" t="e">
        <f ca="1"/>
        <v>#NAME?</v>
      </c>
      <c r="BP13" t="e">
        <f ca="1"/>
        <v>#NAME?</v>
      </c>
      <c r="BQ13" t="e">
        <f ca="1"/>
        <v>#NAME?</v>
      </c>
      <c r="BR13" t="e">
        <f ca="1"/>
        <v>#NAME?</v>
      </c>
      <c r="BS13" t="e">
        <f ca="1"/>
        <v>#NAME?</v>
      </c>
      <c r="BT13" t="e">
        <f ca="1"/>
        <v>#NAME?</v>
      </c>
      <c r="BU13" t="e">
        <f ca="1"/>
        <v>#NAME?</v>
      </c>
      <c r="BV13" t="e">
        <f ca="1"/>
        <v>#NAME?</v>
      </c>
      <c r="BW13" t="e">
        <f ca="1"/>
        <v>#NAME?</v>
      </c>
      <c r="BX13" t="e">
        <f ca="1"/>
        <v>#NAME?</v>
      </c>
      <c r="BY13" t="e">
        <f ca="1"/>
        <v>#NAME?</v>
      </c>
      <c r="BZ13" t="e">
        <f ca="1"/>
        <v>#NAME?</v>
      </c>
      <c r="CA13" t="e">
        <f ca="1"/>
        <v>#NAME?</v>
      </c>
      <c r="CB13" t="e">
        <f ca="1"/>
        <v>#NAME?</v>
      </c>
      <c r="CC13" t="e">
        <f ca="1"/>
        <v>#NAME?</v>
      </c>
      <c r="CD13" t="e">
        <f ca="1"/>
        <v>#NAME?</v>
      </c>
      <c r="CE13" t="e">
        <f ca="1"/>
        <v>#NAME?</v>
      </c>
      <c r="CF13" t="e">
        <f ca="1"/>
        <v>#NAME?</v>
      </c>
      <c r="CG13" t="e">
        <f ca="1"/>
        <v>#NAME?</v>
      </c>
      <c r="CH13" t="e">
        <f ca="1"/>
        <v>#NAME?</v>
      </c>
      <c r="CI13" t="e">
        <f ca="1"/>
        <v>#NAME?</v>
      </c>
      <c r="CJ13" t="e">
        <f ca="1"/>
        <v>#NAME?</v>
      </c>
      <c r="CK13" t="e">
        <f ca="1"/>
        <v>#NAME?</v>
      </c>
      <c r="CL13" t="e">
        <f ca="1"/>
        <v>#NAME?</v>
      </c>
      <c r="CM13" t="e">
        <f ca="1"/>
        <v>#NAME?</v>
      </c>
      <c r="CN13" t="e">
        <f ca="1"/>
        <v>#NAME?</v>
      </c>
      <c r="CO13" t="e">
        <f ca="1"/>
        <v>#NAME?</v>
      </c>
      <c r="CP13" t="e">
        <f ca="1"/>
        <v>#NAME?</v>
      </c>
      <c r="CQ13" t="e">
        <f ca="1"/>
        <v>#NAME?</v>
      </c>
      <c r="CR13" t="e">
        <f ca="1"/>
        <v>#NAME?</v>
      </c>
      <c r="CS13" t="e">
        <f ca="1"/>
        <v>#NAME?</v>
      </c>
      <c r="CT13" t="e">
        <f ca="1"/>
        <v>#NAME?</v>
      </c>
      <c r="CU13" t="e">
        <f ca="1"/>
        <v>#NAME?</v>
      </c>
      <c r="CV13" t="e">
        <f ca="1"/>
        <v>#NAME?</v>
      </c>
      <c r="CW13" t="e">
        <f ca="1"/>
        <v>#NAME?</v>
      </c>
      <c r="CX13" t="e">
        <f ca="1"/>
        <v>#NAME?</v>
      </c>
      <c r="CY13" t="e">
        <f ca="1"/>
        <v>#NAME?</v>
      </c>
      <c r="CZ13" t="e">
        <f ca="1"/>
        <v>#NAME?</v>
      </c>
      <c r="DA13" t="e">
        <f ca="1"/>
        <v>#NAME?</v>
      </c>
      <c r="DB13" t="e">
        <f ca="1"/>
        <v>#NAME?</v>
      </c>
    </row>
    <row r="14" spans="1:106" ht="13.2">
      <c r="A14" s="125"/>
      <c r="B14" s="134"/>
      <c r="C14" s="135"/>
      <c r="D14" s="135"/>
      <c r="E14" s="136"/>
      <c r="F14" s="125"/>
      <c r="G14" s="125" t="e">
        <f t="array" aca="1" ref="G14:DB14" ca="1">_xludf.IFNA(TRANSPOSE(OFFSET($B$3,1,MATCH('Inventory List'!$C17,$B$3:$E$3,0)-1,100,1)),"")</f>
        <v>#NAME?</v>
      </c>
      <c r="H14" s="125" t="e">
        <f ca="1"/>
        <v>#NAME?</v>
      </c>
      <c r="I14" s="125" t="e">
        <f ca="1"/>
        <v>#NAME?</v>
      </c>
      <c r="J14" s="125" t="e">
        <f ca="1"/>
        <v>#NAME?</v>
      </c>
      <c r="K14" s="125" t="e">
        <f ca="1"/>
        <v>#NAME?</v>
      </c>
      <c r="L14" s="125" t="e">
        <f ca="1"/>
        <v>#NAME?</v>
      </c>
      <c r="M14" s="125" t="e">
        <f ca="1"/>
        <v>#NAME?</v>
      </c>
      <c r="N14" s="125" t="e">
        <f ca="1"/>
        <v>#NAME?</v>
      </c>
      <c r="O14" s="125" t="e">
        <f ca="1"/>
        <v>#NAME?</v>
      </c>
      <c r="P14" s="125" t="e">
        <f ca="1"/>
        <v>#NAME?</v>
      </c>
      <c r="Q14" s="125" t="e">
        <f ca="1"/>
        <v>#NAME?</v>
      </c>
      <c r="R14" s="125" t="e">
        <f ca="1"/>
        <v>#NAME?</v>
      </c>
      <c r="S14" s="125" t="e">
        <f ca="1"/>
        <v>#NAME?</v>
      </c>
      <c r="T14" s="125" t="e">
        <f ca="1"/>
        <v>#NAME?</v>
      </c>
      <c r="U14" s="125" t="e">
        <f ca="1"/>
        <v>#NAME?</v>
      </c>
      <c r="V14" s="125" t="e">
        <f ca="1"/>
        <v>#NAME?</v>
      </c>
      <c r="W14" s="125" t="e">
        <f ca="1"/>
        <v>#NAME?</v>
      </c>
      <c r="X14" s="125" t="e">
        <f ca="1"/>
        <v>#NAME?</v>
      </c>
      <c r="Y14" s="125" t="e">
        <f ca="1"/>
        <v>#NAME?</v>
      </c>
      <c r="Z14" s="125" t="e">
        <f ca="1"/>
        <v>#NAME?</v>
      </c>
      <c r="AA14" t="e">
        <f ca="1"/>
        <v>#NAME?</v>
      </c>
      <c r="AB14" t="e">
        <f ca="1"/>
        <v>#NAME?</v>
      </c>
      <c r="AC14" t="e">
        <f ca="1"/>
        <v>#NAME?</v>
      </c>
      <c r="AD14" t="e">
        <f ca="1"/>
        <v>#NAME?</v>
      </c>
      <c r="AE14" t="e">
        <f ca="1"/>
        <v>#NAME?</v>
      </c>
      <c r="AF14" t="e">
        <f ca="1"/>
        <v>#NAME?</v>
      </c>
      <c r="AG14" t="e">
        <f ca="1"/>
        <v>#NAME?</v>
      </c>
      <c r="AH14" t="e">
        <f ca="1"/>
        <v>#NAME?</v>
      </c>
      <c r="AI14" t="e">
        <f ca="1"/>
        <v>#NAME?</v>
      </c>
      <c r="AJ14" t="e">
        <f ca="1"/>
        <v>#NAME?</v>
      </c>
      <c r="AK14" t="e">
        <f ca="1"/>
        <v>#NAME?</v>
      </c>
      <c r="AL14" t="e">
        <f ca="1"/>
        <v>#NAME?</v>
      </c>
      <c r="AM14" t="e">
        <f ca="1"/>
        <v>#NAME?</v>
      </c>
      <c r="AN14" t="e">
        <f ca="1"/>
        <v>#NAME?</v>
      </c>
      <c r="AO14" t="e">
        <f ca="1"/>
        <v>#NAME?</v>
      </c>
      <c r="AP14" t="e">
        <f ca="1"/>
        <v>#NAME?</v>
      </c>
      <c r="AQ14" t="e">
        <f ca="1"/>
        <v>#NAME?</v>
      </c>
      <c r="AR14" t="e">
        <f ca="1"/>
        <v>#NAME?</v>
      </c>
      <c r="AS14" t="e">
        <f ca="1"/>
        <v>#NAME?</v>
      </c>
      <c r="AT14" t="e">
        <f ca="1"/>
        <v>#NAME?</v>
      </c>
      <c r="AU14" t="e">
        <f ca="1"/>
        <v>#NAME?</v>
      </c>
      <c r="AV14" t="e">
        <f ca="1"/>
        <v>#NAME?</v>
      </c>
      <c r="AW14" t="e">
        <f ca="1"/>
        <v>#NAME?</v>
      </c>
      <c r="AX14" t="e">
        <f ca="1"/>
        <v>#NAME?</v>
      </c>
      <c r="AY14" t="e">
        <f ca="1"/>
        <v>#NAME?</v>
      </c>
      <c r="AZ14" t="e">
        <f ca="1"/>
        <v>#NAME?</v>
      </c>
      <c r="BA14" t="e">
        <f ca="1"/>
        <v>#NAME?</v>
      </c>
      <c r="BB14" t="e">
        <f ca="1"/>
        <v>#NAME?</v>
      </c>
      <c r="BC14" t="e">
        <f ca="1"/>
        <v>#NAME?</v>
      </c>
      <c r="BD14" t="e">
        <f ca="1"/>
        <v>#NAME?</v>
      </c>
      <c r="BE14" t="e">
        <f ca="1"/>
        <v>#NAME?</v>
      </c>
      <c r="BF14" t="e">
        <f ca="1"/>
        <v>#NAME?</v>
      </c>
      <c r="BG14" t="e">
        <f ca="1"/>
        <v>#NAME?</v>
      </c>
      <c r="BH14" t="e">
        <f ca="1"/>
        <v>#NAME?</v>
      </c>
      <c r="BI14" t="e">
        <f ca="1"/>
        <v>#NAME?</v>
      </c>
      <c r="BJ14" t="e">
        <f ca="1"/>
        <v>#NAME?</v>
      </c>
      <c r="BK14" t="e">
        <f ca="1"/>
        <v>#NAME?</v>
      </c>
      <c r="BL14" t="e">
        <f ca="1"/>
        <v>#NAME?</v>
      </c>
      <c r="BM14" t="e">
        <f ca="1"/>
        <v>#NAME?</v>
      </c>
      <c r="BN14" t="e">
        <f ca="1"/>
        <v>#NAME?</v>
      </c>
      <c r="BO14" t="e">
        <f ca="1"/>
        <v>#NAME?</v>
      </c>
      <c r="BP14" t="e">
        <f ca="1"/>
        <v>#NAME?</v>
      </c>
      <c r="BQ14" t="e">
        <f ca="1"/>
        <v>#NAME?</v>
      </c>
      <c r="BR14" t="e">
        <f ca="1"/>
        <v>#NAME?</v>
      </c>
      <c r="BS14" t="e">
        <f ca="1"/>
        <v>#NAME?</v>
      </c>
      <c r="BT14" t="e">
        <f ca="1"/>
        <v>#NAME?</v>
      </c>
      <c r="BU14" t="e">
        <f ca="1"/>
        <v>#NAME?</v>
      </c>
      <c r="BV14" t="e">
        <f ca="1"/>
        <v>#NAME?</v>
      </c>
      <c r="BW14" t="e">
        <f ca="1"/>
        <v>#NAME?</v>
      </c>
      <c r="BX14" t="e">
        <f ca="1"/>
        <v>#NAME?</v>
      </c>
      <c r="BY14" t="e">
        <f ca="1"/>
        <v>#NAME?</v>
      </c>
      <c r="BZ14" t="e">
        <f ca="1"/>
        <v>#NAME?</v>
      </c>
      <c r="CA14" t="e">
        <f ca="1"/>
        <v>#NAME?</v>
      </c>
      <c r="CB14" t="e">
        <f ca="1"/>
        <v>#NAME?</v>
      </c>
      <c r="CC14" t="e">
        <f ca="1"/>
        <v>#NAME?</v>
      </c>
      <c r="CD14" t="e">
        <f ca="1"/>
        <v>#NAME?</v>
      </c>
      <c r="CE14" t="e">
        <f ca="1"/>
        <v>#NAME?</v>
      </c>
      <c r="CF14" t="e">
        <f ca="1"/>
        <v>#NAME?</v>
      </c>
      <c r="CG14" t="e">
        <f ca="1"/>
        <v>#NAME?</v>
      </c>
      <c r="CH14" t="e">
        <f ca="1"/>
        <v>#NAME?</v>
      </c>
      <c r="CI14" t="e">
        <f ca="1"/>
        <v>#NAME?</v>
      </c>
      <c r="CJ14" t="e">
        <f ca="1"/>
        <v>#NAME?</v>
      </c>
      <c r="CK14" t="e">
        <f ca="1"/>
        <v>#NAME?</v>
      </c>
      <c r="CL14" t="e">
        <f ca="1"/>
        <v>#NAME?</v>
      </c>
      <c r="CM14" t="e">
        <f ca="1"/>
        <v>#NAME?</v>
      </c>
      <c r="CN14" t="e">
        <f ca="1"/>
        <v>#NAME?</v>
      </c>
      <c r="CO14" t="e">
        <f ca="1"/>
        <v>#NAME?</v>
      </c>
      <c r="CP14" t="e">
        <f ca="1"/>
        <v>#NAME?</v>
      </c>
      <c r="CQ14" t="e">
        <f ca="1"/>
        <v>#NAME?</v>
      </c>
      <c r="CR14" t="e">
        <f ca="1"/>
        <v>#NAME?</v>
      </c>
      <c r="CS14" t="e">
        <f ca="1"/>
        <v>#NAME?</v>
      </c>
      <c r="CT14" t="e">
        <f ca="1"/>
        <v>#NAME?</v>
      </c>
      <c r="CU14" t="e">
        <f ca="1"/>
        <v>#NAME?</v>
      </c>
      <c r="CV14" t="e">
        <f ca="1"/>
        <v>#NAME?</v>
      </c>
      <c r="CW14" t="e">
        <f ca="1"/>
        <v>#NAME?</v>
      </c>
      <c r="CX14" t="e">
        <f ca="1"/>
        <v>#NAME?</v>
      </c>
      <c r="CY14" t="e">
        <f ca="1"/>
        <v>#NAME?</v>
      </c>
      <c r="CZ14" t="e">
        <f ca="1"/>
        <v>#NAME?</v>
      </c>
      <c r="DA14" t="e">
        <f ca="1"/>
        <v>#NAME?</v>
      </c>
      <c r="DB14" t="e">
        <f ca="1"/>
        <v>#NAME?</v>
      </c>
    </row>
    <row r="15" spans="1:106" ht="13.2">
      <c r="A15" s="125"/>
      <c r="B15" s="134"/>
      <c r="C15" s="135"/>
      <c r="D15" s="135"/>
      <c r="E15" s="136"/>
      <c r="F15" s="125"/>
      <c r="G15" s="125" t="e">
        <f t="array" aca="1" ref="G15:DB15" ca="1">_xludf.IFNA(TRANSPOSE(OFFSET($B$3,1,MATCH('Inventory List'!$C18,$B$3:$E$3,0)-1,100,1)),"")</f>
        <v>#NAME?</v>
      </c>
      <c r="H15" s="125" t="e">
        <f ca="1"/>
        <v>#NAME?</v>
      </c>
      <c r="I15" s="125" t="e">
        <f ca="1"/>
        <v>#NAME?</v>
      </c>
      <c r="J15" s="125" t="e">
        <f ca="1"/>
        <v>#NAME?</v>
      </c>
      <c r="K15" s="125" t="e">
        <f ca="1"/>
        <v>#NAME?</v>
      </c>
      <c r="L15" s="125" t="e">
        <f ca="1"/>
        <v>#NAME?</v>
      </c>
      <c r="M15" s="125" t="e">
        <f ca="1"/>
        <v>#NAME?</v>
      </c>
      <c r="N15" s="125" t="e">
        <f ca="1"/>
        <v>#NAME?</v>
      </c>
      <c r="O15" s="125" t="e">
        <f ca="1"/>
        <v>#NAME?</v>
      </c>
      <c r="P15" s="125" t="e">
        <f ca="1"/>
        <v>#NAME?</v>
      </c>
      <c r="Q15" s="125" t="e">
        <f ca="1"/>
        <v>#NAME?</v>
      </c>
      <c r="R15" s="125" t="e">
        <f ca="1"/>
        <v>#NAME?</v>
      </c>
      <c r="S15" s="125" t="e">
        <f ca="1"/>
        <v>#NAME?</v>
      </c>
      <c r="T15" s="125" t="e">
        <f ca="1"/>
        <v>#NAME?</v>
      </c>
      <c r="U15" s="125" t="e">
        <f ca="1"/>
        <v>#NAME?</v>
      </c>
      <c r="V15" s="125" t="e">
        <f ca="1"/>
        <v>#NAME?</v>
      </c>
      <c r="W15" s="125" t="e">
        <f ca="1"/>
        <v>#NAME?</v>
      </c>
      <c r="X15" s="125" t="e">
        <f ca="1"/>
        <v>#NAME?</v>
      </c>
      <c r="Y15" s="125" t="e">
        <f ca="1"/>
        <v>#NAME?</v>
      </c>
      <c r="Z15" s="125" t="e">
        <f ca="1"/>
        <v>#NAME?</v>
      </c>
      <c r="AA15" t="e">
        <f ca="1"/>
        <v>#NAME?</v>
      </c>
      <c r="AB15" t="e">
        <f ca="1"/>
        <v>#NAME?</v>
      </c>
      <c r="AC15" t="e">
        <f ca="1"/>
        <v>#NAME?</v>
      </c>
      <c r="AD15" t="e">
        <f ca="1"/>
        <v>#NAME?</v>
      </c>
      <c r="AE15" t="e">
        <f ca="1"/>
        <v>#NAME?</v>
      </c>
      <c r="AF15" t="e">
        <f ca="1"/>
        <v>#NAME?</v>
      </c>
      <c r="AG15" t="e">
        <f ca="1"/>
        <v>#NAME?</v>
      </c>
      <c r="AH15" t="e">
        <f ca="1"/>
        <v>#NAME?</v>
      </c>
      <c r="AI15" t="e">
        <f ca="1"/>
        <v>#NAME?</v>
      </c>
      <c r="AJ15" t="e">
        <f ca="1"/>
        <v>#NAME?</v>
      </c>
      <c r="AK15" t="e">
        <f ca="1"/>
        <v>#NAME?</v>
      </c>
      <c r="AL15" t="e">
        <f ca="1"/>
        <v>#NAME?</v>
      </c>
      <c r="AM15" t="e">
        <f ca="1"/>
        <v>#NAME?</v>
      </c>
      <c r="AN15" t="e">
        <f ca="1"/>
        <v>#NAME?</v>
      </c>
      <c r="AO15" t="e">
        <f ca="1"/>
        <v>#NAME?</v>
      </c>
      <c r="AP15" t="e">
        <f ca="1"/>
        <v>#NAME?</v>
      </c>
      <c r="AQ15" t="e">
        <f ca="1"/>
        <v>#NAME?</v>
      </c>
      <c r="AR15" t="e">
        <f ca="1"/>
        <v>#NAME?</v>
      </c>
      <c r="AS15" t="e">
        <f ca="1"/>
        <v>#NAME?</v>
      </c>
      <c r="AT15" t="e">
        <f ca="1"/>
        <v>#NAME?</v>
      </c>
      <c r="AU15" t="e">
        <f ca="1"/>
        <v>#NAME?</v>
      </c>
      <c r="AV15" t="e">
        <f ca="1"/>
        <v>#NAME?</v>
      </c>
      <c r="AW15" t="e">
        <f ca="1"/>
        <v>#NAME?</v>
      </c>
      <c r="AX15" t="e">
        <f ca="1"/>
        <v>#NAME?</v>
      </c>
      <c r="AY15" t="e">
        <f ca="1"/>
        <v>#NAME?</v>
      </c>
      <c r="AZ15" t="e">
        <f ca="1"/>
        <v>#NAME?</v>
      </c>
      <c r="BA15" t="e">
        <f ca="1"/>
        <v>#NAME?</v>
      </c>
      <c r="BB15" t="e">
        <f ca="1"/>
        <v>#NAME?</v>
      </c>
      <c r="BC15" t="e">
        <f ca="1"/>
        <v>#NAME?</v>
      </c>
      <c r="BD15" t="e">
        <f ca="1"/>
        <v>#NAME?</v>
      </c>
      <c r="BE15" t="e">
        <f ca="1"/>
        <v>#NAME?</v>
      </c>
      <c r="BF15" t="e">
        <f ca="1"/>
        <v>#NAME?</v>
      </c>
      <c r="BG15" t="e">
        <f ca="1"/>
        <v>#NAME?</v>
      </c>
      <c r="BH15" t="e">
        <f ca="1"/>
        <v>#NAME?</v>
      </c>
      <c r="BI15" t="e">
        <f ca="1"/>
        <v>#NAME?</v>
      </c>
      <c r="BJ15" t="e">
        <f ca="1"/>
        <v>#NAME?</v>
      </c>
      <c r="BK15" t="e">
        <f ca="1"/>
        <v>#NAME?</v>
      </c>
      <c r="BL15" t="e">
        <f ca="1"/>
        <v>#NAME?</v>
      </c>
      <c r="BM15" t="e">
        <f ca="1"/>
        <v>#NAME?</v>
      </c>
      <c r="BN15" t="e">
        <f ca="1"/>
        <v>#NAME?</v>
      </c>
      <c r="BO15" t="e">
        <f ca="1"/>
        <v>#NAME?</v>
      </c>
      <c r="BP15" t="e">
        <f ca="1"/>
        <v>#NAME?</v>
      </c>
      <c r="BQ15" t="e">
        <f ca="1"/>
        <v>#NAME?</v>
      </c>
      <c r="BR15" t="e">
        <f ca="1"/>
        <v>#NAME?</v>
      </c>
      <c r="BS15" t="e">
        <f ca="1"/>
        <v>#NAME?</v>
      </c>
      <c r="BT15" t="e">
        <f ca="1"/>
        <v>#NAME?</v>
      </c>
      <c r="BU15" t="e">
        <f ca="1"/>
        <v>#NAME?</v>
      </c>
      <c r="BV15" t="e">
        <f ca="1"/>
        <v>#NAME?</v>
      </c>
      <c r="BW15" t="e">
        <f ca="1"/>
        <v>#NAME?</v>
      </c>
      <c r="BX15" t="e">
        <f ca="1"/>
        <v>#NAME?</v>
      </c>
      <c r="BY15" t="e">
        <f ca="1"/>
        <v>#NAME?</v>
      </c>
      <c r="BZ15" t="e">
        <f ca="1"/>
        <v>#NAME?</v>
      </c>
      <c r="CA15" t="e">
        <f ca="1"/>
        <v>#NAME?</v>
      </c>
      <c r="CB15" t="e">
        <f ca="1"/>
        <v>#NAME?</v>
      </c>
      <c r="CC15" t="e">
        <f ca="1"/>
        <v>#NAME?</v>
      </c>
      <c r="CD15" t="e">
        <f ca="1"/>
        <v>#NAME?</v>
      </c>
      <c r="CE15" t="e">
        <f ca="1"/>
        <v>#NAME?</v>
      </c>
      <c r="CF15" t="e">
        <f ca="1"/>
        <v>#NAME?</v>
      </c>
      <c r="CG15" t="e">
        <f ca="1"/>
        <v>#NAME?</v>
      </c>
      <c r="CH15" t="e">
        <f ca="1"/>
        <v>#NAME?</v>
      </c>
      <c r="CI15" t="e">
        <f ca="1"/>
        <v>#NAME?</v>
      </c>
      <c r="CJ15" t="e">
        <f ca="1"/>
        <v>#NAME?</v>
      </c>
      <c r="CK15" t="e">
        <f ca="1"/>
        <v>#NAME?</v>
      </c>
      <c r="CL15" t="e">
        <f ca="1"/>
        <v>#NAME?</v>
      </c>
      <c r="CM15" t="e">
        <f ca="1"/>
        <v>#NAME?</v>
      </c>
      <c r="CN15" t="e">
        <f ca="1"/>
        <v>#NAME?</v>
      </c>
      <c r="CO15" t="e">
        <f ca="1"/>
        <v>#NAME?</v>
      </c>
      <c r="CP15" t="e">
        <f ca="1"/>
        <v>#NAME?</v>
      </c>
      <c r="CQ15" t="e">
        <f ca="1"/>
        <v>#NAME?</v>
      </c>
      <c r="CR15" t="e">
        <f ca="1"/>
        <v>#NAME?</v>
      </c>
      <c r="CS15" t="e">
        <f ca="1"/>
        <v>#NAME?</v>
      </c>
      <c r="CT15" t="e">
        <f ca="1"/>
        <v>#NAME?</v>
      </c>
      <c r="CU15" t="e">
        <f ca="1"/>
        <v>#NAME?</v>
      </c>
      <c r="CV15" t="e">
        <f ca="1"/>
        <v>#NAME?</v>
      </c>
      <c r="CW15" t="e">
        <f ca="1"/>
        <v>#NAME?</v>
      </c>
      <c r="CX15" t="e">
        <f ca="1"/>
        <v>#NAME?</v>
      </c>
      <c r="CY15" t="e">
        <f ca="1"/>
        <v>#NAME?</v>
      </c>
      <c r="CZ15" t="e">
        <f ca="1"/>
        <v>#NAME?</v>
      </c>
      <c r="DA15" t="e">
        <f ca="1"/>
        <v>#NAME?</v>
      </c>
      <c r="DB15" t="e">
        <f ca="1"/>
        <v>#NAME?</v>
      </c>
    </row>
    <row r="16" spans="1:106" ht="13.2">
      <c r="A16" s="125"/>
      <c r="B16" s="134"/>
      <c r="C16" s="135"/>
      <c r="D16" s="135"/>
      <c r="E16" s="136"/>
      <c r="F16" s="125"/>
      <c r="G16" s="125" t="e">
        <f t="array" aca="1" ref="G16:DB16" ca="1">_xludf.IFNA(TRANSPOSE(OFFSET($B$3,1,MATCH('Inventory List'!$C19,$B$3:$E$3,0)-1,100,1)),"")</f>
        <v>#NAME?</v>
      </c>
      <c r="H16" s="125" t="e">
        <f ca="1"/>
        <v>#NAME?</v>
      </c>
      <c r="I16" s="125" t="e">
        <f ca="1"/>
        <v>#NAME?</v>
      </c>
      <c r="J16" s="125" t="e">
        <f ca="1"/>
        <v>#NAME?</v>
      </c>
      <c r="K16" s="125" t="e">
        <f ca="1"/>
        <v>#NAME?</v>
      </c>
      <c r="L16" s="125" t="e">
        <f ca="1"/>
        <v>#NAME?</v>
      </c>
      <c r="M16" s="125" t="e">
        <f ca="1"/>
        <v>#NAME?</v>
      </c>
      <c r="N16" s="125" t="e">
        <f ca="1"/>
        <v>#NAME?</v>
      </c>
      <c r="O16" s="125" t="e">
        <f ca="1"/>
        <v>#NAME?</v>
      </c>
      <c r="P16" s="125" t="e">
        <f ca="1"/>
        <v>#NAME?</v>
      </c>
      <c r="Q16" s="125" t="e">
        <f ca="1"/>
        <v>#NAME?</v>
      </c>
      <c r="R16" s="125" t="e">
        <f ca="1"/>
        <v>#NAME?</v>
      </c>
      <c r="S16" s="125" t="e">
        <f ca="1"/>
        <v>#NAME?</v>
      </c>
      <c r="T16" s="125" t="e">
        <f ca="1"/>
        <v>#NAME?</v>
      </c>
      <c r="U16" s="125" t="e">
        <f ca="1"/>
        <v>#NAME?</v>
      </c>
      <c r="V16" s="125" t="e">
        <f ca="1"/>
        <v>#NAME?</v>
      </c>
      <c r="W16" s="125" t="e">
        <f ca="1"/>
        <v>#NAME?</v>
      </c>
      <c r="X16" s="125" t="e">
        <f ca="1"/>
        <v>#NAME?</v>
      </c>
      <c r="Y16" s="125" t="e">
        <f ca="1"/>
        <v>#NAME?</v>
      </c>
      <c r="Z16" s="125" t="e">
        <f ca="1"/>
        <v>#NAME?</v>
      </c>
      <c r="AA16" t="e">
        <f ca="1"/>
        <v>#NAME?</v>
      </c>
      <c r="AB16" t="e">
        <f ca="1"/>
        <v>#NAME?</v>
      </c>
      <c r="AC16" t="e">
        <f ca="1"/>
        <v>#NAME?</v>
      </c>
      <c r="AD16" t="e">
        <f ca="1"/>
        <v>#NAME?</v>
      </c>
      <c r="AE16" t="e">
        <f ca="1"/>
        <v>#NAME?</v>
      </c>
      <c r="AF16" t="e">
        <f ca="1"/>
        <v>#NAME?</v>
      </c>
      <c r="AG16" t="e">
        <f ca="1"/>
        <v>#NAME?</v>
      </c>
      <c r="AH16" t="e">
        <f ca="1"/>
        <v>#NAME?</v>
      </c>
      <c r="AI16" t="e">
        <f ca="1"/>
        <v>#NAME?</v>
      </c>
      <c r="AJ16" t="e">
        <f ca="1"/>
        <v>#NAME?</v>
      </c>
      <c r="AK16" t="e">
        <f ca="1"/>
        <v>#NAME?</v>
      </c>
      <c r="AL16" t="e">
        <f ca="1"/>
        <v>#NAME?</v>
      </c>
      <c r="AM16" t="e">
        <f ca="1"/>
        <v>#NAME?</v>
      </c>
      <c r="AN16" t="e">
        <f ca="1"/>
        <v>#NAME?</v>
      </c>
      <c r="AO16" t="e">
        <f ca="1"/>
        <v>#NAME?</v>
      </c>
      <c r="AP16" t="e">
        <f ca="1"/>
        <v>#NAME?</v>
      </c>
      <c r="AQ16" t="e">
        <f ca="1"/>
        <v>#NAME?</v>
      </c>
      <c r="AR16" t="e">
        <f ca="1"/>
        <v>#NAME?</v>
      </c>
      <c r="AS16" t="e">
        <f ca="1"/>
        <v>#NAME?</v>
      </c>
      <c r="AT16" t="e">
        <f ca="1"/>
        <v>#NAME?</v>
      </c>
      <c r="AU16" t="e">
        <f ca="1"/>
        <v>#NAME?</v>
      </c>
      <c r="AV16" t="e">
        <f ca="1"/>
        <v>#NAME?</v>
      </c>
      <c r="AW16" t="e">
        <f ca="1"/>
        <v>#NAME?</v>
      </c>
      <c r="AX16" t="e">
        <f ca="1"/>
        <v>#NAME?</v>
      </c>
      <c r="AY16" t="e">
        <f ca="1"/>
        <v>#NAME?</v>
      </c>
      <c r="AZ16" t="e">
        <f ca="1"/>
        <v>#NAME?</v>
      </c>
      <c r="BA16" t="e">
        <f ca="1"/>
        <v>#NAME?</v>
      </c>
      <c r="BB16" t="e">
        <f ca="1"/>
        <v>#NAME?</v>
      </c>
      <c r="BC16" t="e">
        <f ca="1"/>
        <v>#NAME?</v>
      </c>
      <c r="BD16" t="e">
        <f ca="1"/>
        <v>#NAME?</v>
      </c>
      <c r="BE16" t="e">
        <f ca="1"/>
        <v>#NAME?</v>
      </c>
      <c r="BF16" t="e">
        <f ca="1"/>
        <v>#NAME?</v>
      </c>
      <c r="BG16" t="e">
        <f ca="1"/>
        <v>#NAME?</v>
      </c>
      <c r="BH16" t="e">
        <f ca="1"/>
        <v>#NAME?</v>
      </c>
      <c r="BI16" t="e">
        <f ca="1"/>
        <v>#NAME?</v>
      </c>
      <c r="BJ16" t="e">
        <f ca="1"/>
        <v>#NAME?</v>
      </c>
      <c r="BK16" t="e">
        <f ca="1"/>
        <v>#NAME?</v>
      </c>
      <c r="BL16" t="e">
        <f ca="1"/>
        <v>#NAME?</v>
      </c>
      <c r="BM16" t="e">
        <f ca="1"/>
        <v>#NAME?</v>
      </c>
      <c r="BN16" t="e">
        <f ca="1"/>
        <v>#NAME?</v>
      </c>
      <c r="BO16" t="e">
        <f ca="1"/>
        <v>#NAME?</v>
      </c>
      <c r="BP16" t="e">
        <f ca="1"/>
        <v>#NAME?</v>
      </c>
      <c r="BQ16" t="e">
        <f ca="1"/>
        <v>#NAME?</v>
      </c>
      <c r="BR16" t="e">
        <f ca="1"/>
        <v>#NAME?</v>
      </c>
      <c r="BS16" t="e">
        <f ca="1"/>
        <v>#NAME?</v>
      </c>
      <c r="BT16" t="e">
        <f ca="1"/>
        <v>#NAME?</v>
      </c>
      <c r="BU16" t="e">
        <f ca="1"/>
        <v>#NAME?</v>
      </c>
      <c r="BV16" t="e">
        <f ca="1"/>
        <v>#NAME?</v>
      </c>
      <c r="BW16" t="e">
        <f ca="1"/>
        <v>#NAME?</v>
      </c>
      <c r="BX16" t="e">
        <f ca="1"/>
        <v>#NAME?</v>
      </c>
      <c r="BY16" t="e">
        <f ca="1"/>
        <v>#NAME?</v>
      </c>
      <c r="BZ16" t="e">
        <f ca="1"/>
        <v>#NAME?</v>
      </c>
      <c r="CA16" t="e">
        <f ca="1"/>
        <v>#NAME?</v>
      </c>
      <c r="CB16" t="e">
        <f ca="1"/>
        <v>#NAME?</v>
      </c>
      <c r="CC16" t="e">
        <f ca="1"/>
        <v>#NAME?</v>
      </c>
      <c r="CD16" t="e">
        <f ca="1"/>
        <v>#NAME?</v>
      </c>
      <c r="CE16" t="e">
        <f ca="1"/>
        <v>#NAME?</v>
      </c>
      <c r="CF16" t="e">
        <f ca="1"/>
        <v>#NAME?</v>
      </c>
      <c r="CG16" t="e">
        <f ca="1"/>
        <v>#NAME?</v>
      </c>
      <c r="CH16" t="e">
        <f ca="1"/>
        <v>#NAME?</v>
      </c>
      <c r="CI16" t="e">
        <f ca="1"/>
        <v>#NAME?</v>
      </c>
      <c r="CJ16" t="e">
        <f ca="1"/>
        <v>#NAME?</v>
      </c>
      <c r="CK16" t="e">
        <f ca="1"/>
        <v>#NAME?</v>
      </c>
      <c r="CL16" t="e">
        <f ca="1"/>
        <v>#NAME?</v>
      </c>
      <c r="CM16" t="e">
        <f ca="1"/>
        <v>#NAME?</v>
      </c>
      <c r="CN16" t="e">
        <f ca="1"/>
        <v>#NAME?</v>
      </c>
      <c r="CO16" t="e">
        <f ca="1"/>
        <v>#NAME?</v>
      </c>
      <c r="CP16" t="e">
        <f ca="1"/>
        <v>#NAME?</v>
      </c>
      <c r="CQ16" t="e">
        <f ca="1"/>
        <v>#NAME?</v>
      </c>
      <c r="CR16" t="e">
        <f ca="1"/>
        <v>#NAME?</v>
      </c>
      <c r="CS16" t="e">
        <f ca="1"/>
        <v>#NAME?</v>
      </c>
      <c r="CT16" t="e">
        <f ca="1"/>
        <v>#NAME?</v>
      </c>
      <c r="CU16" t="e">
        <f ca="1"/>
        <v>#NAME?</v>
      </c>
      <c r="CV16" t="e">
        <f ca="1"/>
        <v>#NAME?</v>
      </c>
      <c r="CW16" t="e">
        <f ca="1"/>
        <v>#NAME?</v>
      </c>
      <c r="CX16" t="e">
        <f ca="1"/>
        <v>#NAME?</v>
      </c>
      <c r="CY16" t="e">
        <f ca="1"/>
        <v>#NAME?</v>
      </c>
      <c r="CZ16" t="e">
        <f ca="1"/>
        <v>#NAME?</v>
      </c>
      <c r="DA16" t="e">
        <f ca="1"/>
        <v>#NAME?</v>
      </c>
      <c r="DB16" t="e">
        <f ca="1"/>
        <v>#NAME?</v>
      </c>
    </row>
    <row r="17" spans="1:106" ht="13.2">
      <c r="A17" s="125"/>
      <c r="B17" s="134"/>
      <c r="C17" s="135"/>
      <c r="D17" s="135"/>
      <c r="E17" s="136"/>
      <c r="F17" s="125"/>
      <c r="G17" s="125" t="e">
        <f t="array" aca="1" ref="G17:DB17" ca="1">_xludf.IFNA(TRANSPOSE(OFFSET($B$3,1,MATCH('Inventory List'!$C20,$B$3:$E$3,0)-1,100,1)),"")</f>
        <v>#NAME?</v>
      </c>
      <c r="H17" s="125" t="e">
        <f ca="1"/>
        <v>#NAME?</v>
      </c>
      <c r="I17" s="125" t="e">
        <f ca="1"/>
        <v>#NAME?</v>
      </c>
      <c r="J17" s="125" t="e">
        <f ca="1"/>
        <v>#NAME?</v>
      </c>
      <c r="K17" s="125" t="e">
        <f ca="1"/>
        <v>#NAME?</v>
      </c>
      <c r="L17" s="125" t="e">
        <f ca="1"/>
        <v>#NAME?</v>
      </c>
      <c r="M17" s="125" t="e">
        <f ca="1"/>
        <v>#NAME?</v>
      </c>
      <c r="N17" s="125" t="e">
        <f ca="1"/>
        <v>#NAME?</v>
      </c>
      <c r="O17" s="125" t="e">
        <f ca="1"/>
        <v>#NAME?</v>
      </c>
      <c r="P17" s="125" t="e">
        <f ca="1"/>
        <v>#NAME?</v>
      </c>
      <c r="Q17" s="125" t="e">
        <f ca="1"/>
        <v>#NAME?</v>
      </c>
      <c r="R17" s="125" t="e">
        <f ca="1"/>
        <v>#NAME?</v>
      </c>
      <c r="S17" s="125" t="e">
        <f ca="1"/>
        <v>#NAME?</v>
      </c>
      <c r="T17" s="125" t="e">
        <f ca="1"/>
        <v>#NAME?</v>
      </c>
      <c r="U17" s="125" t="e">
        <f ca="1"/>
        <v>#NAME?</v>
      </c>
      <c r="V17" s="125" t="e">
        <f ca="1"/>
        <v>#NAME?</v>
      </c>
      <c r="W17" s="125" t="e">
        <f ca="1"/>
        <v>#NAME?</v>
      </c>
      <c r="X17" s="125" t="e">
        <f ca="1"/>
        <v>#NAME?</v>
      </c>
      <c r="Y17" s="125" t="e">
        <f ca="1"/>
        <v>#NAME?</v>
      </c>
      <c r="Z17" s="125" t="e">
        <f ca="1"/>
        <v>#NAME?</v>
      </c>
      <c r="AA17" t="e">
        <f ca="1"/>
        <v>#NAME?</v>
      </c>
      <c r="AB17" t="e">
        <f ca="1"/>
        <v>#NAME?</v>
      </c>
      <c r="AC17" t="e">
        <f ca="1"/>
        <v>#NAME?</v>
      </c>
      <c r="AD17" t="e">
        <f ca="1"/>
        <v>#NAME?</v>
      </c>
      <c r="AE17" t="e">
        <f ca="1"/>
        <v>#NAME?</v>
      </c>
      <c r="AF17" t="e">
        <f ca="1"/>
        <v>#NAME?</v>
      </c>
      <c r="AG17" t="e">
        <f ca="1"/>
        <v>#NAME?</v>
      </c>
      <c r="AH17" t="e">
        <f ca="1"/>
        <v>#NAME?</v>
      </c>
      <c r="AI17" t="e">
        <f ca="1"/>
        <v>#NAME?</v>
      </c>
      <c r="AJ17" t="e">
        <f ca="1"/>
        <v>#NAME?</v>
      </c>
      <c r="AK17" t="e">
        <f ca="1"/>
        <v>#NAME?</v>
      </c>
      <c r="AL17" t="e">
        <f ca="1"/>
        <v>#NAME?</v>
      </c>
      <c r="AM17" t="e">
        <f ca="1"/>
        <v>#NAME?</v>
      </c>
      <c r="AN17" t="e">
        <f ca="1"/>
        <v>#NAME?</v>
      </c>
      <c r="AO17" t="e">
        <f ca="1"/>
        <v>#NAME?</v>
      </c>
      <c r="AP17" t="e">
        <f ca="1"/>
        <v>#NAME?</v>
      </c>
      <c r="AQ17" t="e">
        <f ca="1"/>
        <v>#NAME?</v>
      </c>
      <c r="AR17" t="e">
        <f ca="1"/>
        <v>#NAME?</v>
      </c>
      <c r="AS17" t="e">
        <f ca="1"/>
        <v>#NAME?</v>
      </c>
      <c r="AT17" t="e">
        <f ca="1"/>
        <v>#NAME?</v>
      </c>
      <c r="AU17" t="e">
        <f ca="1"/>
        <v>#NAME?</v>
      </c>
      <c r="AV17" t="e">
        <f ca="1"/>
        <v>#NAME?</v>
      </c>
      <c r="AW17" t="e">
        <f ca="1"/>
        <v>#NAME?</v>
      </c>
      <c r="AX17" t="e">
        <f ca="1"/>
        <v>#NAME?</v>
      </c>
      <c r="AY17" t="e">
        <f ca="1"/>
        <v>#NAME?</v>
      </c>
      <c r="AZ17" t="e">
        <f ca="1"/>
        <v>#NAME?</v>
      </c>
      <c r="BA17" t="e">
        <f ca="1"/>
        <v>#NAME?</v>
      </c>
      <c r="BB17" t="e">
        <f ca="1"/>
        <v>#NAME?</v>
      </c>
      <c r="BC17" t="e">
        <f ca="1"/>
        <v>#NAME?</v>
      </c>
      <c r="BD17" t="e">
        <f ca="1"/>
        <v>#NAME?</v>
      </c>
      <c r="BE17" t="e">
        <f ca="1"/>
        <v>#NAME?</v>
      </c>
      <c r="BF17" t="e">
        <f ca="1"/>
        <v>#NAME?</v>
      </c>
      <c r="BG17" t="e">
        <f ca="1"/>
        <v>#NAME?</v>
      </c>
      <c r="BH17" t="e">
        <f ca="1"/>
        <v>#NAME?</v>
      </c>
      <c r="BI17" t="e">
        <f ca="1"/>
        <v>#NAME?</v>
      </c>
      <c r="BJ17" t="e">
        <f ca="1"/>
        <v>#NAME?</v>
      </c>
      <c r="BK17" t="e">
        <f ca="1"/>
        <v>#NAME?</v>
      </c>
      <c r="BL17" t="e">
        <f ca="1"/>
        <v>#NAME?</v>
      </c>
      <c r="BM17" t="e">
        <f ca="1"/>
        <v>#NAME?</v>
      </c>
      <c r="BN17" t="e">
        <f ca="1"/>
        <v>#NAME?</v>
      </c>
      <c r="BO17" t="e">
        <f ca="1"/>
        <v>#NAME?</v>
      </c>
      <c r="BP17" t="e">
        <f ca="1"/>
        <v>#NAME?</v>
      </c>
      <c r="BQ17" t="e">
        <f ca="1"/>
        <v>#NAME?</v>
      </c>
      <c r="BR17" t="e">
        <f ca="1"/>
        <v>#NAME?</v>
      </c>
      <c r="BS17" t="e">
        <f ca="1"/>
        <v>#NAME?</v>
      </c>
      <c r="BT17" t="e">
        <f ca="1"/>
        <v>#NAME?</v>
      </c>
      <c r="BU17" t="e">
        <f ca="1"/>
        <v>#NAME?</v>
      </c>
      <c r="BV17" t="e">
        <f ca="1"/>
        <v>#NAME?</v>
      </c>
      <c r="BW17" t="e">
        <f ca="1"/>
        <v>#NAME?</v>
      </c>
      <c r="BX17" t="e">
        <f ca="1"/>
        <v>#NAME?</v>
      </c>
      <c r="BY17" t="e">
        <f ca="1"/>
        <v>#NAME?</v>
      </c>
      <c r="BZ17" t="e">
        <f ca="1"/>
        <v>#NAME?</v>
      </c>
      <c r="CA17" t="e">
        <f ca="1"/>
        <v>#NAME?</v>
      </c>
      <c r="CB17" t="e">
        <f ca="1"/>
        <v>#NAME?</v>
      </c>
      <c r="CC17" t="e">
        <f ca="1"/>
        <v>#NAME?</v>
      </c>
      <c r="CD17" t="e">
        <f ca="1"/>
        <v>#NAME?</v>
      </c>
      <c r="CE17" t="e">
        <f ca="1"/>
        <v>#NAME?</v>
      </c>
      <c r="CF17" t="e">
        <f ca="1"/>
        <v>#NAME?</v>
      </c>
      <c r="CG17" t="e">
        <f ca="1"/>
        <v>#NAME?</v>
      </c>
      <c r="CH17" t="e">
        <f ca="1"/>
        <v>#NAME?</v>
      </c>
      <c r="CI17" t="e">
        <f ca="1"/>
        <v>#NAME?</v>
      </c>
      <c r="CJ17" t="e">
        <f ca="1"/>
        <v>#NAME?</v>
      </c>
      <c r="CK17" t="e">
        <f ca="1"/>
        <v>#NAME?</v>
      </c>
      <c r="CL17" t="e">
        <f ca="1"/>
        <v>#NAME?</v>
      </c>
      <c r="CM17" t="e">
        <f ca="1"/>
        <v>#NAME?</v>
      </c>
      <c r="CN17" t="e">
        <f ca="1"/>
        <v>#NAME?</v>
      </c>
      <c r="CO17" t="e">
        <f ca="1"/>
        <v>#NAME?</v>
      </c>
      <c r="CP17" t="e">
        <f ca="1"/>
        <v>#NAME?</v>
      </c>
      <c r="CQ17" t="e">
        <f ca="1"/>
        <v>#NAME?</v>
      </c>
      <c r="CR17" t="e">
        <f ca="1"/>
        <v>#NAME?</v>
      </c>
      <c r="CS17" t="e">
        <f ca="1"/>
        <v>#NAME?</v>
      </c>
      <c r="CT17" t="e">
        <f ca="1"/>
        <v>#NAME?</v>
      </c>
      <c r="CU17" t="e">
        <f ca="1"/>
        <v>#NAME?</v>
      </c>
      <c r="CV17" t="e">
        <f ca="1"/>
        <v>#NAME?</v>
      </c>
      <c r="CW17" t="e">
        <f ca="1"/>
        <v>#NAME?</v>
      </c>
      <c r="CX17" t="e">
        <f ca="1"/>
        <v>#NAME?</v>
      </c>
      <c r="CY17" t="e">
        <f ca="1"/>
        <v>#NAME?</v>
      </c>
      <c r="CZ17" t="e">
        <f ca="1"/>
        <v>#NAME?</v>
      </c>
      <c r="DA17" t="e">
        <f ca="1"/>
        <v>#NAME?</v>
      </c>
      <c r="DB17" t="e">
        <f ca="1"/>
        <v>#NAME?</v>
      </c>
    </row>
    <row r="18" spans="1:106" ht="13.2">
      <c r="A18" s="125"/>
      <c r="B18" s="134"/>
      <c r="C18" s="135"/>
      <c r="D18" s="135"/>
      <c r="E18" s="136"/>
      <c r="F18" s="125"/>
      <c r="G18" s="125" t="e">
        <f t="array" aca="1" ref="G18:DB18" ca="1">_xludf.IFNA(TRANSPOSE(OFFSET($B$3,1,MATCH('Inventory List'!$C21,$B$3:$E$3,0)-1,100,1)),"")</f>
        <v>#NAME?</v>
      </c>
      <c r="H18" s="125" t="e">
        <f ca="1"/>
        <v>#NAME?</v>
      </c>
      <c r="I18" s="125" t="e">
        <f ca="1"/>
        <v>#NAME?</v>
      </c>
      <c r="J18" s="125" t="e">
        <f ca="1"/>
        <v>#NAME?</v>
      </c>
      <c r="K18" s="125" t="e">
        <f ca="1"/>
        <v>#NAME?</v>
      </c>
      <c r="L18" s="125" t="e">
        <f ca="1"/>
        <v>#NAME?</v>
      </c>
      <c r="M18" s="125" t="e">
        <f ca="1"/>
        <v>#NAME?</v>
      </c>
      <c r="N18" s="125" t="e">
        <f ca="1"/>
        <v>#NAME?</v>
      </c>
      <c r="O18" s="125" t="e">
        <f ca="1"/>
        <v>#NAME?</v>
      </c>
      <c r="P18" s="125" t="e">
        <f ca="1"/>
        <v>#NAME?</v>
      </c>
      <c r="Q18" s="125" t="e">
        <f ca="1"/>
        <v>#NAME?</v>
      </c>
      <c r="R18" s="125" t="e">
        <f ca="1"/>
        <v>#NAME?</v>
      </c>
      <c r="S18" s="125" t="e">
        <f ca="1"/>
        <v>#NAME?</v>
      </c>
      <c r="T18" s="125" t="e">
        <f ca="1"/>
        <v>#NAME?</v>
      </c>
      <c r="U18" s="125" t="e">
        <f ca="1"/>
        <v>#NAME?</v>
      </c>
      <c r="V18" s="125" t="e">
        <f ca="1"/>
        <v>#NAME?</v>
      </c>
      <c r="W18" s="125" t="e">
        <f ca="1"/>
        <v>#NAME?</v>
      </c>
      <c r="X18" s="125" t="e">
        <f ca="1"/>
        <v>#NAME?</v>
      </c>
      <c r="Y18" s="125" t="e">
        <f ca="1"/>
        <v>#NAME?</v>
      </c>
      <c r="Z18" s="125" t="e">
        <f ca="1"/>
        <v>#NAME?</v>
      </c>
      <c r="AA18" t="e">
        <f ca="1"/>
        <v>#NAME?</v>
      </c>
      <c r="AB18" t="e">
        <f ca="1"/>
        <v>#NAME?</v>
      </c>
      <c r="AC18" t="e">
        <f ca="1"/>
        <v>#NAME?</v>
      </c>
      <c r="AD18" t="e">
        <f ca="1"/>
        <v>#NAME?</v>
      </c>
      <c r="AE18" t="e">
        <f ca="1"/>
        <v>#NAME?</v>
      </c>
      <c r="AF18" t="e">
        <f ca="1"/>
        <v>#NAME?</v>
      </c>
      <c r="AG18" t="e">
        <f ca="1"/>
        <v>#NAME?</v>
      </c>
      <c r="AH18" t="e">
        <f ca="1"/>
        <v>#NAME?</v>
      </c>
      <c r="AI18" t="e">
        <f ca="1"/>
        <v>#NAME?</v>
      </c>
      <c r="AJ18" t="e">
        <f ca="1"/>
        <v>#NAME?</v>
      </c>
      <c r="AK18" t="e">
        <f ca="1"/>
        <v>#NAME?</v>
      </c>
      <c r="AL18" t="e">
        <f ca="1"/>
        <v>#NAME?</v>
      </c>
      <c r="AM18" t="e">
        <f ca="1"/>
        <v>#NAME?</v>
      </c>
      <c r="AN18" t="e">
        <f ca="1"/>
        <v>#NAME?</v>
      </c>
      <c r="AO18" t="e">
        <f ca="1"/>
        <v>#NAME?</v>
      </c>
      <c r="AP18" t="e">
        <f ca="1"/>
        <v>#NAME?</v>
      </c>
      <c r="AQ18" t="e">
        <f ca="1"/>
        <v>#NAME?</v>
      </c>
      <c r="AR18" t="e">
        <f ca="1"/>
        <v>#NAME?</v>
      </c>
      <c r="AS18" t="e">
        <f ca="1"/>
        <v>#NAME?</v>
      </c>
      <c r="AT18" t="e">
        <f ca="1"/>
        <v>#NAME?</v>
      </c>
      <c r="AU18" t="e">
        <f ca="1"/>
        <v>#NAME?</v>
      </c>
      <c r="AV18" t="e">
        <f ca="1"/>
        <v>#NAME?</v>
      </c>
      <c r="AW18" t="e">
        <f ca="1"/>
        <v>#NAME?</v>
      </c>
      <c r="AX18" t="e">
        <f ca="1"/>
        <v>#NAME?</v>
      </c>
      <c r="AY18" t="e">
        <f ca="1"/>
        <v>#NAME?</v>
      </c>
      <c r="AZ18" t="e">
        <f ca="1"/>
        <v>#NAME?</v>
      </c>
      <c r="BA18" t="e">
        <f ca="1"/>
        <v>#NAME?</v>
      </c>
      <c r="BB18" t="e">
        <f ca="1"/>
        <v>#NAME?</v>
      </c>
      <c r="BC18" t="e">
        <f ca="1"/>
        <v>#NAME?</v>
      </c>
      <c r="BD18" t="e">
        <f ca="1"/>
        <v>#NAME?</v>
      </c>
      <c r="BE18" t="e">
        <f ca="1"/>
        <v>#NAME?</v>
      </c>
      <c r="BF18" t="e">
        <f ca="1"/>
        <v>#NAME?</v>
      </c>
      <c r="BG18" t="e">
        <f ca="1"/>
        <v>#NAME?</v>
      </c>
      <c r="BH18" t="e">
        <f ca="1"/>
        <v>#NAME?</v>
      </c>
      <c r="BI18" t="e">
        <f ca="1"/>
        <v>#NAME?</v>
      </c>
      <c r="BJ18" t="e">
        <f ca="1"/>
        <v>#NAME?</v>
      </c>
      <c r="BK18" t="e">
        <f ca="1"/>
        <v>#NAME?</v>
      </c>
      <c r="BL18" t="e">
        <f ca="1"/>
        <v>#NAME?</v>
      </c>
      <c r="BM18" t="e">
        <f ca="1"/>
        <v>#NAME?</v>
      </c>
      <c r="BN18" t="e">
        <f ca="1"/>
        <v>#NAME?</v>
      </c>
      <c r="BO18" t="e">
        <f ca="1"/>
        <v>#NAME?</v>
      </c>
      <c r="BP18" t="e">
        <f ca="1"/>
        <v>#NAME?</v>
      </c>
      <c r="BQ18" t="e">
        <f ca="1"/>
        <v>#NAME?</v>
      </c>
      <c r="BR18" t="e">
        <f ca="1"/>
        <v>#NAME?</v>
      </c>
      <c r="BS18" t="e">
        <f ca="1"/>
        <v>#NAME?</v>
      </c>
      <c r="BT18" t="e">
        <f ca="1"/>
        <v>#NAME?</v>
      </c>
      <c r="BU18" t="e">
        <f ca="1"/>
        <v>#NAME?</v>
      </c>
      <c r="BV18" t="e">
        <f ca="1"/>
        <v>#NAME?</v>
      </c>
      <c r="BW18" t="e">
        <f ca="1"/>
        <v>#NAME?</v>
      </c>
      <c r="BX18" t="e">
        <f ca="1"/>
        <v>#NAME?</v>
      </c>
      <c r="BY18" t="e">
        <f ca="1"/>
        <v>#NAME?</v>
      </c>
      <c r="BZ18" t="e">
        <f ca="1"/>
        <v>#NAME?</v>
      </c>
      <c r="CA18" t="e">
        <f ca="1"/>
        <v>#NAME?</v>
      </c>
      <c r="CB18" t="e">
        <f ca="1"/>
        <v>#NAME?</v>
      </c>
      <c r="CC18" t="e">
        <f ca="1"/>
        <v>#NAME?</v>
      </c>
      <c r="CD18" t="e">
        <f ca="1"/>
        <v>#NAME?</v>
      </c>
      <c r="CE18" t="e">
        <f ca="1"/>
        <v>#NAME?</v>
      </c>
      <c r="CF18" t="e">
        <f ca="1"/>
        <v>#NAME?</v>
      </c>
      <c r="CG18" t="e">
        <f ca="1"/>
        <v>#NAME?</v>
      </c>
      <c r="CH18" t="e">
        <f ca="1"/>
        <v>#NAME?</v>
      </c>
      <c r="CI18" t="e">
        <f ca="1"/>
        <v>#NAME?</v>
      </c>
      <c r="CJ18" t="e">
        <f ca="1"/>
        <v>#NAME?</v>
      </c>
      <c r="CK18" t="e">
        <f ca="1"/>
        <v>#NAME?</v>
      </c>
      <c r="CL18" t="e">
        <f ca="1"/>
        <v>#NAME?</v>
      </c>
      <c r="CM18" t="e">
        <f ca="1"/>
        <v>#NAME?</v>
      </c>
      <c r="CN18" t="e">
        <f ca="1"/>
        <v>#NAME?</v>
      </c>
      <c r="CO18" t="e">
        <f ca="1"/>
        <v>#NAME?</v>
      </c>
      <c r="CP18" t="e">
        <f ca="1"/>
        <v>#NAME?</v>
      </c>
      <c r="CQ18" t="e">
        <f ca="1"/>
        <v>#NAME?</v>
      </c>
      <c r="CR18" t="e">
        <f ca="1"/>
        <v>#NAME?</v>
      </c>
      <c r="CS18" t="e">
        <f ca="1"/>
        <v>#NAME?</v>
      </c>
      <c r="CT18" t="e">
        <f ca="1"/>
        <v>#NAME?</v>
      </c>
      <c r="CU18" t="e">
        <f ca="1"/>
        <v>#NAME?</v>
      </c>
      <c r="CV18" t="e">
        <f ca="1"/>
        <v>#NAME?</v>
      </c>
      <c r="CW18" t="e">
        <f ca="1"/>
        <v>#NAME?</v>
      </c>
      <c r="CX18" t="e">
        <f ca="1"/>
        <v>#NAME?</v>
      </c>
      <c r="CY18" t="e">
        <f ca="1"/>
        <v>#NAME?</v>
      </c>
      <c r="CZ18" t="e">
        <f ca="1"/>
        <v>#NAME?</v>
      </c>
      <c r="DA18" t="e">
        <f ca="1"/>
        <v>#NAME?</v>
      </c>
      <c r="DB18" t="e">
        <f ca="1"/>
        <v>#NAME?</v>
      </c>
    </row>
    <row r="19" spans="1:106" ht="13.2">
      <c r="A19" s="125"/>
      <c r="B19" s="134"/>
      <c r="C19" s="135"/>
      <c r="D19" s="135"/>
      <c r="E19" s="136"/>
      <c r="F19" s="125"/>
      <c r="G19" s="125" t="e">
        <f t="array" aca="1" ref="G19:DB19" ca="1">_xludf.IFNA(TRANSPOSE(OFFSET($B$3,1,MATCH('Inventory List'!$C22,$B$3:$E$3,0)-1,100,1)),"")</f>
        <v>#NAME?</v>
      </c>
      <c r="H19" s="125" t="e">
        <f ca="1"/>
        <v>#NAME?</v>
      </c>
      <c r="I19" s="125" t="e">
        <f ca="1"/>
        <v>#NAME?</v>
      </c>
      <c r="J19" s="125" t="e">
        <f ca="1"/>
        <v>#NAME?</v>
      </c>
      <c r="K19" s="125" t="e">
        <f ca="1"/>
        <v>#NAME?</v>
      </c>
      <c r="L19" s="125" t="e">
        <f ca="1"/>
        <v>#NAME?</v>
      </c>
      <c r="M19" s="125" t="e">
        <f ca="1"/>
        <v>#NAME?</v>
      </c>
      <c r="N19" s="125" t="e">
        <f ca="1"/>
        <v>#NAME?</v>
      </c>
      <c r="O19" s="125" t="e">
        <f ca="1"/>
        <v>#NAME?</v>
      </c>
      <c r="P19" s="125" t="e">
        <f ca="1"/>
        <v>#NAME?</v>
      </c>
      <c r="Q19" s="125" t="e">
        <f ca="1"/>
        <v>#NAME?</v>
      </c>
      <c r="R19" s="125" t="e">
        <f ca="1"/>
        <v>#NAME?</v>
      </c>
      <c r="S19" s="125" t="e">
        <f ca="1"/>
        <v>#NAME?</v>
      </c>
      <c r="T19" s="125" t="e">
        <f ca="1"/>
        <v>#NAME?</v>
      </c>
      <c r="U19" s="125" t="e">
        <f ca="1"/>
        <v>#NAME?</v>
      </c>
      <c r="V19" s="125" t="e">
        <f ca="1"/>
        <v>#NAME?</v>
      </c>
      <c r="W19" s="125" t="e">
        <f ca="1"/>
        <v>#NAME?</v>
      </c>
      <c r="X19" s="125" t="e">
        <f ca="1"/>
        <v>#NAME?</v>
      </c>
      <c r="Y19" s="125" t="e">
        <f ca="1"/>
        <v>#NAME?</v>
      </c>
      <c r="Z19" s="125" t="e">
        <f ca="1"/>
        <v>#NAME?</v>
      </c>
      <c r="AA19" t="e">
        <f ca="1"/>
        <v>#NAME?</v>
      </c>
      <c r="AB19" t="e">
        <f ca="1"/>
        <v>#NAME?</v>
      </c>
      <c r="AC19" t="e">
        <f ca="1"/>
        <v>#NAME?</v>
      </c>
      <c r="AD19" t="e">
        <f ca="1"/>
        <v>#NAME?</v>
      </c>
      <c r="AE19" t="e">
        <f ca="1"/>
        <v>#NAME?</v>
      </c>
      <c r="AF19" t="e">
        <f ca="1"/>
        <v>#NAME?</v>
      </c>
      <c r="AG19" t="e">
        <f ca="1"/>
        <v>#NAME?</v>
      </c>
      <c r="AH19" t="e">
        <f ca="1"/>
        <v>#NAME?</v>
      </c>
      <c r="AI19" t="e">
        <f ca="1"/>
        <v>#NAME?</v>
      </c>
      <c r="AJ19" t="e">
        <f ca="1"/>
        <v>#NAME?</v>
      </c>
      <c r="AK19" t="e">
        <f ca="1"/>
        <v>#NAME?</v>
      </c>
      <c r="AL19" t="e">
        <f ca="1"/>
        <v>#NAME?</v>
      </c>
      <c r="AM19" t="e">
        <f ca="1"/>
        <v>#NAME?</v>
      </c>
      <c r="AN19" t="e">
        <f ca="1"/>
        <v>#NAME?</v>
      </c>
      <c r="AO19" t="e">
        <f ca="1"/>
        <v>#NAME?</v>
      </c>
      <c r="AP19" t="e">
        <f ca="1"/>
        <v>#NAME?</v>
      </c>
      <c r="AQ19" t="e">
        <f ca="1"/>
        <v>#NAME?</v>
      </c>
      <c r="AR19" t="e">
        <f ca="1"/>
        <v>#NAME?</v>
      </c>
      <c r="AS19" t="e">
        <f ca="1"/>
        <v>#NAME?</v>
      </c>
      <c r="AT19" t="e">
        <f ca="1"/>
        <v>#NAME?</v>
      </c>
      <c r="AU19" t="e">
        <f ca="1"/>
        <v>#NAME?</v>
      </c>
      <c r="AV19" t="e">
        <f ca="1"/>
        <v>#NAME?</v>
      </c>
      <c r="AW19" t="e">
        <f ca="1"/>
        <v>#NAME?</v>
      </c>
      <c r="AX19" t="e">
        <f ca="1"/>
        <v>#NAME?</v>
      </c>
      <c r="AY19" t="e">
        <f ca="1"/>
        <v>#NAME?</v>
      </c>
      <c r="AZ19" t="e">
        <f ca="1"/>
        <v>#NAME?</v>
      </c>
      <c r="BA19" t="e">
        <f ca="1"/>
        <v>#NAME?</v>
      </c>
      <c r="BB19" t="e">
        <f ca="1"/>
        <v>#NAME?</v>
      </c>
      <c r="BC19" t="e">
        <f ca="1"/>
        <v>#NAME?</v>
      </c>
      <c r="BD19" t="e">
        <f ca="1"/>
        <v>#NAME?</v>
      </c>
      <c r="BE19" t="e">
        <f ca="1"/>
        <v>#NAME?</v>
      </c>
      <c r="BF19" t="e">
        <f ca="1"/>
        <v>#NAME?</v>
      </c>
      <c r="BG19" t="e">
        <f ca="1"/>
        <v>#NAME?</v>
      </c>
      <c r="BH19" t="e">
        <f ca="1"/>
        <v>#NAME?</v>
      </c>
      <c r="BI19" t="e">
        <f ca="1"/>
        <v>#NAME?</v>
      </c>
      <c r="BJ19" t="e">
        <f ca="1"/>
        <v>#NAME?</v>
      </c>
      <c r="BK19" t="e">
        <f ca="1"/>
        <v>#NAME?</v>
      </c>
      <c r="BL19" t="e">
        <f ca="1"/>
        <v>#NAME?</v>
      </c>
      <c r="BM19" t="e">
        <f ca="1"/>
        <v>#NAME?</v>
      </c>
      <c r="BN19" t="e">
        <f ca="1"/>
        <v>#NAME?</v>
      </c>
      <c r="BO19" t="e">
        <f ca="1"/>
        <v>#NAME?</v>
      </c>
      <c r="BP19" t="e">
        <f ca="1"/>
        <v>#NAME?</v>
      </c>
      <c r="BQ19" t="e">
        <f ca="1"/>
        <v>#NAME?</v>
      </c>
      <c r="BR19" t="e">
        <f ca="1"/>
        <v>#NAME?</v>
      </c>
      <c r="BS19" t="e">
        <f ca="1"/>
        <v>#NAME?</v>
      </c>
      <c r="BT19" t="e">
        <f ca="1"/>
        <v>#NAME?</v>
      </c>
      <c r="BU19" t="e">
        <f ca="1"/>
        <v>#NAME?</v>
      </c>
      <c r="BV19" t="e">
        <f ca="1"/>
        <v>#NAME?</v>
      </c>
      <c r="BW19" t="e">
        <f ca="1"/>
        <v>#NAME?</v>
      </c>
      <c r="BX19" t="e">
        <f ca="1"/>
        <v>#NAME?</v>
      </c>
      <c r="BY19" t="e">
        <f ca="1"/>
        <v>#NAME?</v>
      </c>
      <c r="BZ19" t="e">
        <f ca="1"/>
        <v>#NAME?</v>
      </c>
      <c r="CA19" t="e">
        <f ca="1"/>
        <v>#NAME?</v>
      </c>
      <c r="CB19" t="e">
        <f ca="1"/>
        <v>#NAME?</v>
      </c>
      <c r="CC19" t="e">
        <f ca="1"/>
        <v>#NAME?</v>
      </c>
      <c r="CD19" t="e">
        <f ca="1"/>
        <v>#NAME?</v>
      </c>
      <c r="CE19" t="e">
        <f ca="1"/>
        <v>#NAME?</v>
      </c>
      <c r="CF19" t="e">
        <f ca="1"/>
        <v>#NAME?</v>
      </c>
      <c r="CG19" t="e">
        <f ca="1"/>
        <v>#NAME?</v>
      </c>
      <c r="CH19" t="e">
        <f ca="1"/>
        <v>#NAME?</v>
      </c>
      <c r="CI19" t="e">
        <f ca="1"/>
        <v>#NAME?</v>
      </c>
      <c r="CJ19" t="e">
        <f ca="1"/>
        <v>#NAME?</v>
      </c>
      <c r="CK19" t="e">
        <f ca="1"/>
        <v>#NAME?</v>
      </c>
      <c r="CL19" t="e">
        <f ca="1"/>
        <v>#NAME?</v>
      </c>
      <c r="CM19" t="e">
        <f ca="1"/>
        <v>#NAME?</v>
      </c>
      <c r="CN19" t="e">
        <f ca="1"/>
        <v>#NAME?</v>
      </c>
      <c r="CO19" t="e">
        <f ca="1"/>
        <v>#NAME?</v>
      </c>
      <c r="CP19" t="e">
        <f ca="1"/>
        <v>#NAME?</v>
      </c>
      <c r="CQ19" t="e">
        <f ca="1"/>
        <v>#NAME?</v>
      </c>
      <c r="CR19" t="e">
        <f ca="1"/>
        <v>#NAME?</v>
      </c>
      <c r="CS19" t="e">
        <f ca="1"/>
        <v>#NAME?</v>
      </c>
      <c r="CT19" t="e">
        <f ca="1"/>
        <v>#NAME?</v>
      </c>
      <c r="CU19" t="e">
        <f ca="1"/>
        <v>#NAME?</v>
      </c>
      <c r="CV19" t="e">
        <f ca="1"/>
        <v>#NAME?</v>
      </c>
      <c r="CW19" t="e">
        <f ca="1"/>
        <v>#NAME?</v>
      </c>
      <c r="CX19" t="e">
        <f ca="1"/>
        <v>#NAME?</v>
      </c>
      <c r="CY19" t="e">
        <f ca="1"/>
        <v>#NAME?</v>
      </c>
      <c r="CZ19" t="e">
        <f ca="1"/>
        <v>#NAME?</v>
      </c>
      <c r="DA19" t="e">
        <f ca="1"/>
        <v>#NAME?</v>
      </c>
      <c r="DB19" t="e">
        <f ca="1"/>
        <v>#NAME?</v>
      </c>
    </row>
    <row r="20" spans="1:106" ht="13.2">
      <c r="A20" s="125"/>
      <c r="B20" s="134"/>
      <c r="C20" s="135"/>
      <c r="D20" s="135"/>
      <c r="E20" s="136"/>
      <c r="F20" s="125"/>
      <c r="G20" s="125" t="e">
        <f t="array" aca="1" ref="G20:DB20" ca="1">_xludf.IFNA(TRANSPOSE(OFFSET($B$3,1,MATCH('Inventory List'!$C23,$B$3:$E$3,0)-1,100,1)),"")</f>
        <v>#NAME?</v>
      </c>
      <c r="H20" s="125" t="e">
        <f ca="1"/>
        <v>#NAME?</v>
      </c>
      <c r="I20" s="125" t="e">
        <f ca="1"/>
        <v>#NAME?</v>
      </c>
      <c r="J20" s="125" t="e">
        <f ca="1"/>
        <v>#NAME?</v>
      </c>
      <c r="K20" s="125" t="e">
        <f ca="1"/>
        <v>#NAME?</v>
      </c>
      <c r="L20" s="125" t="e">
        <f ca="1"/>
        <v>#NAME?</v>
      </c>
      <c r="M20" s="125" t="e">
        <f ca="1"/>
        <v>#NAME?</v>
      </c>
      <c r="N20" s="125" t="e">
        <f ca="1"/>
        <v>#NAME?</v>
      </c>
      <c r="O20" s="125" t="e">
        <f ca="1"/>
        <v>#NAME?</v>
      </c>
      <c r="P20" s="125" t="e">
        <f ca="1"/>
        <v>#NAME?</v>
      </c>
      <c r="Q20" s="125" t="e">
        <f ca="1"/>
        <v>#NAME?</v>
      </c>
      <c r="R20" s="125" t="e">
        <f ca="1"/>
        <v>#NAME?</v>
      </c>
      <c r="S20" s="125" t="e">
        <f ca="1"/>
        <v>#NAME?</v>
      </c>
      <c r="T20" s="125" t="e">
        <f ca="1"/>
        <v>#NAME?</v>
      </c>
      <c r="U20" s="125" t="e">
        <f ca="1"/>
        <v>#NAME?</v>
      </c>
      <c r="V20" s="125" t="e">
        <f ca="1"/>
        <v>#NAME?</v>
      </c>
      <c r="W20" s="125" t="e">
        <f ca="1"/>
        <v>#NAME?</v>
      </c>
      <c r="X20" s="125" t="e">
        <f ca="1"/>
        <v>#NAME?</v>
      </c>
      <c r="Y20" s="125" t="e">
        <f ca="1"/>
        <v>#NAME?</v>
      </c>
      <c r="Z20" s="125" t="e">
        <f ca="1"/>
        <v>#NAME?</v>
      </c>
      <c r="AA20" t="e">
        <f ca="1"/>
        <v>#NAME?</v>
      </c>
      <c r="AB20" t="e">
        <f ca="1"/>
        <v>#NAME?</v>
      </c>
      <c r="AC20" t="e">
        <f ca="1"/>
        <v>#NAME?</v>
      </c>
      <c r="AD20" t="e">
        <f ca="1"/>
        <v>#NAME?</v>
      </c>
      <c r="AE20" t="e">
        <f ca="1"/>
        <v>#NAME?</v>
      </c>
      <c r="AF20" t="e">
        <f ca="1"/>
        <v>#NAME?</v>
      </c>
      <c r="AG20" t="e">
        <f ca="1"/>
        <v>#NAME?</v>
      </c>
      <c r="AH20" t="e">
        <f ca="1"/>
        <v>#NAME?</v>
      </c>
      <c r="AI20" t="e">
        <f ca="1"/>
        <v>#NAME?</v>
      </c>
      <c r="AJ20" t="e">
        <f ca="1"/>
        <v>#NAME?</v>
      </c>
      <c r="AK20" t="e">
        <f ca="1"/>
        <v>#NAME?</v>
      </c>
      <c r="AL20" t="e">
        <f ca="1"/>
        <v>#NAME?</v>
      </c>
      <c r="AM20" t="e">
        <f ca="1"/>
        <v>#NAME?</v>
      </c>
      <c r="AN20" t="e">
        <f ca="1"/>
        <v>#NAME?</v>
      </c>
      <c r="AO20" t="e">
        <f ca="1"/>
        <v>#NAME?</v>
      </c>
      <c r="AP20" t="e">
        <f ca="1"/>
        <v>#NAME?</v>
      </c>
      <c r="AQ20" t="e">
        <f ca="1"/>
        <v>#NAME?</v>
      </c>
      <c r="AR20" t="e">
        <f ca="1"/>
        <v>#NAME?</v>
      </c>
      <c r="AS20" t="e">
        <f ca="1"/>
        <v>#NAME?</v>
      </c>
      <c r="AT20" t="e">
        <f ca="1"/>
        <v>#NAME?</v>
      </c>
      <c r="AU20" t="e">
        <f ca="1"/>
        <v>#NAME?</v>
      </c>
      <c r="AV20" t="e">
        <f ca="1"/>
        <v>#NAME?</v>
      </c>
      <c r="AW20" t="e">
        <f ca="1"/>
        <v>#NAME?</v>
      </c>
      <c r="AX20" t="e">
        <f ca="1"/>
        <v>#NAME?</v>
      </c>
      <c r="AY20" t="e">
        <f ca="1"/>
        <v>#NAME?</v>
      </c>
      <c r="AZ20" t="e">
        <f ca="1"/>
        <v>#NAME?</v>
      </c>
      <c r="BA20" t="e">
        <f ca="1"/>
        <v>#NAME?</v>
      </c>
      <c r="BB20" t="e">
        <f ca="1"/>
        <v>#NAME?</v>
      </c>
      <c r="BC20" t="e">
        <f ca="1"/>
        <v>#NAME?</v>
      </c>
      <c r="BD20" t="e">
        <f ca="1"/>
        <v>#NAME?</v>
      </c>
      <c r="BE20" t="e">
        <f ca="1"/>
        <v>#NAME?</v>
      </c>
      <c r="BF20" t="e">
        <f ca="1"/>
        <v>#NAME?</v>
      </c>
      <c r="BG20" t="e">
        <f ca="1"/>
        <v>#NAME?</v>
      </c>
      <c r="BH20" t="e">
        <f ca="1"/>
        <v>#NAME?</v>
      </c>
      <c r="BI20" t="e">
        <f ca="1"/>
        <v>#NAME?</v>
      </c>
      <c r="BJ20" t="e">
        <f ca="1"/>
        <v>#NAME?</v>
      </c>
      <c r="BK20" t="e">
        <f ca="1"/>
        <v>#NAME?</v>
      </c>
      <c r="BL20" t="e">
        <f ca="1"/>
        <v>#NAME?</v>
      </c>
      <c r="BM20" t="e">
        <f ca="1"/>
        <v>#NAME?</v>
      </c>
      <c r="BN20" t="e">
        <f ca="1"/>
        <v>#NAME?</v>
      </c>
      <c r="BO20" t="e">
        <f ca="1"/>
        <v>#NAME?</v>
      </c>
      <c r="BP20" t="e">
        <f ca="1"/>
        <v>#NAME?</v>
      </c>
      <c r="BQ20" t="e">
        <f ca="1"/>
        <v>#NAME?</v>
      </c>
      <c r="BR20" t="e">
        <f ca="1"/>
        <v>#NAME?</v>
      </c>
      <c r="BS20" t="e">
        <f ca="1"/>
        <v>#NAME?</v>
      </c>
      <c r="BT20" t="e">
        <f ca="1"/>
        <v>#NAME?</v>
      </c>
      <c r="BU20" t="e">
        <f ca="1"/>
        <v>#NAME?</v>
      </c>
      <c r="BV20" t="e">
        <f ca="1"/>
        <v>#NAME?</v>
      </c>
      <c r="BW20" t="e">
        <f ca="1"/>
        <v>#NAME?</v>
      </c>
      <c r="BX20" t="e">
        <f ca="1"/>
        <v>#NAME?</v>
      </c>
      <c r="BY20" t="e">
        <f ca="1"/>
        <v>#NAME?</v>
      </c>
      <c r="BZ20" t="e">
        <f ca="1"/>
        <v>#NAME?</v>
      </c>
      <c r="CA20" t="e">
        <f ca="1"/>
        <v>#NAME?</v>
      </c>
      <c r="CB20" t="e">
        <f ca="1"/>
        <v>#NAME?</v>
      </c>
      <c r="CC20" t="e">
        <f ca="1"/>
        <v>#NAME?</v>
      </c>
      <c r="CD20" t="e">
        <f ca="1"/>
        <v>#NAME?</v>
      </c>
      <c r="CE20" t="e">
        <f ca="1"/>
        <v>#NAME?</v>
      </c>
      <c r="CF20" t="e">
        <f ca="1"/>
        <v>#NAME?</v>
      </c>
      <c r="CG20" t="e">
        <f ca="1"/>
        <v>#NAME?</v>
      </c>
      <c r="CH20" t="e">
        <f ca="1"/>
        <v>#NAME?</v>
      </c>
      <c r="CI20" t="e">
        <f ca="1"/>
        <v>#NAME?</v>
      </c>
      <c r="CJ20" t="e">
        <f ca="1"/>
        <v>#NAME?</v>
      </c>
      <c r="CK20" t="e">
        <f ca="1"/>
        <v>#NAME?</v>
      </c>
      <c r="CL20" t="e">
        <f ca="1"/>
        <v>#NAME?</v>
      </c>
      <c r="CM20" t="e">
        <f ca="1"/>
        <v>#NAME?</v>
      </c>
      <c r="CN20" t="e">
        <f ca="1"/>
        <v>#NAME?</v>
      </c>
      <c r="CO20" t="e">
        <f ca="1"/>
        <v>#NAME?</v>
      </c>
      <c r="CP20" t="e">
        <f ca="1"/>
        <v>#NAME?</v>
      </c>
      <c r="CQ20" t="e">
        <f ca="1"/>
        <v>#NAME?</v>
      </c>
      <c r="CR20" t="e">
        <f ca="1"/>
        <v>#NAME?</v>
      </c>
      <c r="CS20" t="e">
        <f ca="1"/>
        <v>#NAME?</v>
      </c>
      <c r="CT20" t="e">
        <f ca="1"/>
        <v>#NAME?</v>
      </c>
      <c r="CU20" t="e">
        <f ca="1"/>
        <v>#NAME?</v>
      </c>
      <c r="CV20" t="e">
        <f ca="1"/>
        <v>#NAME?</v>
      </c>
      <c r="CW20" t="e">
        <f ca="1"/>
        <v>#NAME?</v>
      </c>
      <c r="CX20" t="e">
        <f ca="1"/>
        <v>#NAME?</v>
      </c>
      <c r="CY20" t="e">
        <f ca="1"/>
        <v>#NAME?</v>
      </c>
      <c r="CZ20" t="e">
        <f ca="1"/>
        <v>#NAME?</v>
      </c>
      <c r="DA20" t="e">
        <f ca="1"/>
        <v>#NAME?</v>
      </c>
      <c r="DB20" t="e">
        <f ca="1"/>
        <v>#NAME?</v>
      </c>
    </row>
    <row r="21" spans="1:106" ht="13.2">
      <c r="A21" s="125"/>
      <c r="B21" s="134"/>
      <c r="C21" s="135"/>
      <c r="D21" s="135"/>
      <c r="E21" s="136"/>
      <c r="F21" s="125"/>
      <c r="G21" s="125" t="e">
        <f t="array" aca="1" ref="G21:DB21" ca="1">_xludf.IFNA(TRANSPOSE(OFFSET($B$3,1,MATCH('Inventory List'!$C24,$B$3:$E$3,0)-1,100,1)),"")</f>
        <v>#NAME?</v>
      </c>
      <c r="H21" s="125" t="e">
        <f ca="1"/>
        <v>#NAME?</v>
      </c>
      <c r="I21" s="125" t="e">
        <f ca="1"/>
        <v>#NAME?</v>
      </c>
      <c r="J21" s="125" t="e">
        <f ca="1"/>
        <v>#NAME?</v>
      </c>
      <c r="K21" s="125" t="e">
        <f ca="1"/>
        <v>#NAME?</v>
      </c>
      <c r="L21" s="125" t="e">
        <f ca="1"/>
        <v>#NAME?</v>
      </c>
      <c r="M21" s="125" t="e">
        <f ca="1"/>
        <v>#NAME?</v>
      </c>
      <c r="N21" s="125" t="e">
        <f ca="1"/>
        <v>#NAME?</v>
      </c>
      <c r="O21" s="125" t="e">
        <f ca="1"/>
        <v>#NAME?</v>
      </c>
      <c r="P21" s="125" t="e">
        <f ca="1"/>
        <v>#NAME?</v>
      </c>
      <c r="Q21" s="125" t="e">
        <f ca="1"/>
        <v>#NAME?</v>
      </c>
      <c r="R21" s="125" t="e">
        <f ca="1"/>
        <v>#NAME?</v>
      </c>
      <c r="S21" s="125" t="e">
        <f ca="1"/>
        <v>#NAME?</v>
      </c>
      <c r="T21" s="125" t="e">
        <f ca="1"/>
        <v>#NAME?</v>
      </c>
      <c r="U21" s="125" t="e">
        <f ca="1"/>
        <v>#NAME?</v>
      </c>
      <c r="V21" s="125" t="e">
        <f ca="1"/>
        <v>#NAME?</v>
      </c>
      <c r="W21" s="125" t="e">
        <f ca="1"/>
        <v>#NAME?</v>
      </c>
      <c r="X21" s="125" t="e">
        <f ca="1"/>
        <v>#NAME?</v>
      </c>
      <c r="Y21" s="125" t="e">
        <f ca="1"/>
        <v>#NAME?</v>
      </c>
      <c r="Z21" s="125" t="e">
        <f ca="1"/>
        <v>#NAME?</v>
      </c>
      <c r="AA21" t="e">
        <f ca="1"/>
        <v>#NAME?</v>
      </c>
      <c r="AB21" t="e">
        <f ca="1"/>
        <v>#NAME?</v>
      </c>
      <c r="AC21" t="e">
        <f ca="1"/>
        <v>#NAME?</v>
      </c>
      <c r="AD21" t="e">
        <f ca="1"/>
        <v>#NAME?</v>
      </c>
      <c r="AE21" t="e">
        <f ca="1"/>
        <v>#NAME?</v>
      </c>
      <c r="AF21" t="e">
        <f ca="1"/>
        <v>#NAME?</v>
      </c>
      <c r="AG21" t="e">
        <f ca="1"/>
        <v>#NAME?</v>
      </c>
      <c r="AH21" t="e">
        <f ca="1"/>
        <v>#NAME?</v>
      </c>
      <c r="AI21" t="e">
        <f ca="1"/>
        <v>#NAME?</v>
      </c>
      <c r="AJ21" t="e">
        <f ca="1"/>
        <v>#NAME?</v>
      </c>
      <c r="AK21" t="e">
        <f ca="1"/>
        <v>#NAME?</v>
      </c>
      <c r="AL21" t="e">
        <f ca="1"/>
        <v>#NAME?</v>
      </c>
      <c r="AM21" t="e">
        <f ca="1"/>
        <v>#NAME?</v>
      </c>
      <c r="AN21" t="e">
        <f ca="1"/>
        <v>#NAME?</v>
      </c>
      <c r="AO21" t="e">
        <f ca="1"/>
        <v>#NAME?</v>
      </c>
      <c r="AP21" t="e">
        <f ca="1"/>
        <v>#NAME?</v>
      </c>
      <c r="AQ21" t="e">
        <f ca="1"/>
        <v>#NAME?</v>
      </c>
      <c r="AR21" t="e">
        <f ca="1"/>
        <v>#NAME?</v>
      </c>
      <c r="AS21" t="e">
        <f ca="1"/>
        <v>#NAME?</v>
      </c>
      <c r="AT21" t="e">
        <f ca="1"/>
        <v>#NAME?</v>
      </c>
      <c r="AU21" t="e">
        <f ca="1"/>
        <v>#NAME?</v>
      </c>
      <c r="AV21" t="e">
        <f ca="1"/>
        <v>#NAME?</v>
      </c>
      <c r="AW21" t="e">
        <f ca="1"/>
        <v>#NAME?</v>
      </c>
      <c r="AX21" t="e">
        <f ca="1"/>
        <v>#NAME?</v>
      </c>
      <c r="AY21" t="e">
        <f ca="1"/>
        <v>#NAME?</v>
      </c>
      <c r="AZ21" t="e">
        <f ca="1"/>
        <v>#NAME?</v>
      </c>
      <c r="BA21" t="e">
        <f ca="1"/>
        <v>#NAME?</v>
      </c>
      <c r="BB21" t="e">
        <f ca="1"/>
        <v>#NAME?</v>
      </c>
      <c r="BC21" t="e">
        <f ca="1"/>
        <v>#NAME?</v>
      </c>
      <c r="BD21" t="e">
        <f ca="1"/>
        <v>#NAME?</v>
      </c>
      <c r="BE21" t="e">
        <f ca="1"/>
        <v>#NAME?</v>
      </c>
      <c r="BF21" t="e">
        <f ca="1"/>
        <v>#NAME?</v>
      </c>
      <c r="BG21" t="e">
        <f ca="1"/>
        <v>#NAME?</v>
      </c>
      <c r="BH21" t="e">
        <f ca="1"/>
        <v>#NAME?</v>
      </c>
      <c r="BI21" t="e">
        <f ca="1"/>
        <v>#NAME?</v>
      </c>
      <c r="BJ21" t="e">
        <f ca="1"/>
        <v>#NAME?</v>
      </c>
      <c r="BK21" t="e">
        <f ca="1"/>
        <v>#NAME?</v>
      </c>
      <c r="BL21" t="e">
        <f ca="1"/>
        <v>#NAME?</v>
      </c>
      <c r="BM21" t="e">
        <f ca="1"/>
        <v>#NAME?</v>
      </c>
      <c r="BN21" t="e">
        <f ca="1"/>
        <v>#NAME?</v>
      </c>
      <c r="BO21" t="e">
        <f ca="1"/>
        <v>#NAME?</v>
      </c>
      <c r="BP21" t="e">
        <f ca="1"/>
        <v>#NAME?</v>
      </c>
      <c r="BQ21" t="e">
        <f ca="1"/>
        <v>#NAME?</v>
      </c>
      <c r="BR21" t="e">
        <f ca="1"/>
        <v>#NAME?</v>
      </c>
      <c r="BS21" t="e">
        <f ca="1"/>
        <v>#NAME?</v>
      </c>
      <c r="BT21" t="e">
        <f ca="1"/>
        <v>#NAME?</v>
      </c>
      <c r="BU21" t="e">
        <f ca="1"/>
        <v>#NAME?</v>
      </c>
      <c r="BV21" t="e">
        <f ca="1"/>
        <v>#NAME?</v>
      </c>
      <c r="BW21" t="e">
        <f ca="1"/>
        <v>#NAME?</v>
      </c>
      <c r="BX21" t="e">
        <f ca="1"/>
        <v>#NAME?</v>
      </c>
      <c r="BY21" t="e">
        <f ca="1"/>
        <v>#NAME?</v>
      </c>
      <c r="BZ21" t="e">
        <f ca="1"/>
        <v>#NAME?</v>
      </c>
      <c r="CA21" t="e">
        <f ca="1"/>
        <v>#NAME?</v>
      </c>
      <c r="CB21" t="e">
        <f ca="1"/>
        <v>#NAME?</v>
      </c>
      <c r="CC21" t="e">
        <f ca="1"/>
        <v>#NAME?</v>
      </c>
      <c r="CD21" t="e">
        <f ca="1"/>
        <v>#NAME?</v>
      </c>
      <c r="CE21" t="e">
        <f ca="1"/>
        <v>#NAME?</v>
      </c>
      <c r="CF21" t="e">
        <f ca="1"/>
        <v>#NAME?</v>
      </c>
      <c r="CG21" t="e">
        <f ca="1"/>
        <v>#NAME?</v>
      </c>
      <c r="CH21" t="e">
        <f ca="1"/>
        <v>#NAME?</v>
      </c>
      <c r="CI21" t="e">
        <f ca="1"/>
        <v>#NAME?</v>
      </c>
      <c r="CJ21" t="e">
        <f ca="1"/>
        <v>#NAME?</v>
      </c>
      <c r="CK21" t="e">
        <f ca="1"/>
        <v>#NAME?</v>
      </c>
      <c r="CL21" t="e">
        <f ca="1"/>
        <v>#NAME?</v>
      </c>
      <c r="CM21" t="e">
        <f ca="1"/>
        <v>#NAME?</v>
      </c>
      <c r="CN21" t="e">
        <f ca="1"/>
        <v>#NAME?</v>
      </c>
      <c r="CO21" t="e">
        <f ca="1"/>
        <v>#NAME?</v>
      </c>
      <c r="CP21" t="e">
        <f ca="1"/>
        <v>#NAME?</v>
      </c>
      <c r="CQ21" t="e">
        <f ca="1"/>
        <v>#NAME?</v>
      </c>
      <c r="CR21" t="e">
        <f ca="1"/>
        <v>#NAME?</v>
      </c>
      <c r="CS21" t="e">
        <f ca="1"/>
        <v>#NAME?</v>
      </c>
      <c r="CT21" t="e">
        <f ca="1"/>
        <v>#NAME?</v>
      </c>
      <c r="CU21" t="e">
        <f ca="1"/>
        <v>#NAME?</v>
      </c>
      <c r="CV21" t="e">
        <f ca="1"/>
        <v>#NAME?</v>
      </c>
      <c r="CW21" t="e">
        <f ca="1"/>
        <v>#NAME?</v>
      </c>
      <c r="CX21" t="e">
        <f ca="1"/>
        <v>#NAME?</v>
      </c>
      <c r="CY21" t="e">
        <f ca="1"/>
        <v>#NAME?</v>
      </c>
      <c r="CZ21" t="e">
        <f ca="1"/>
        <v>#NAME?</v>
      </c>
      <c r="DA21" t="e">
        <f ca="1"/>
        <v>#NAME?</v>
      </c>
      <c r="DB21" t="e">
        <f ca="1"/>
        <v>#NAME?</v>
      </c>
    </row>
    <row r="22" spans="1:106" ht="13.2">
      <c r="A22" s="125"/>
      <c r="B22" s="134"/>
      <c r="C22" s="135"/>
      <c r="D22" s="135"/>
      <c r="E22" s="136"/>
      <c r="F22" s="125"/>
      <c r="G22" s="125" t="e">
        <f t="array" aca="1" ref="G22:DB22" ca="1">_xludf.IFNA(TRANSPOSE(OFFSET($B$3,1,MATCH('Inventory List'!$C25,$B$3:$E$3,0)-1,100,1)),"")</f>
        <v>#NAME?</v>
      </c>
      <c r="H22" s="125" t="e">
        <f ca="1"/>
        <v>#NAME?</v>
      </c>
      <c r="I22" s="125" t="e">
        <f ca="1"/>
        <v>#NAME?</v>
      </c>
      <c r="J22" s="125" t="e">
        <f ca="1"/>
        <v>#NAME?</v>
      </c>
      <c r="K22" s="125" t="e">
        <f ca="1"/>
        <v>#NAME?</v>
      </c>
      <c r="L22" s="125" t="e">
        <f ca="1"/>
        <v>#NAME?</v>
      </c>
      <c r="M22" s="125" t="e">
        <f ca="1"/>
        <v>#NAME?</v>
      </c>
      <c r="N22" s="125" t="e">
        <f ca="1"/>
        <v>#NAME?</v>
      </c>
      <c r="O22" s="125" t="e">
        <f ca="1"/>
        <v>#NAME?</v>
      </c>
      <c r="P22" s="125" t="e">
        <f ca="1"/>
        <v>#NAME?</v>
      </c>
      <c r="Q22" s="125" t="e">
        <f ca="1"/>
        <v>#NAME?</v>
      </c>
      <c r="R22" s="125" t="e">
        <f ca="1"/>
        <v>#NAME?</v>
      </c>
      <c r="S22" s="125" t="e">
        <f ca="1"/>
        <v>#NAME?</v>
      </c>
      <c r="T22" s="125" t="e">
        <f ca="1"/>
        <v>#NAME?</v>
      </c>
      <c r="U22" s="125" t="e">
        <f ca="1"/>
        <v>#NAME?</v>
      </c>
      <c r="V22" s="125" t="e">
        <f ca="1"/>
        <v>#NAME?</v>
      </c>
      <c r="W22" s="125" t="e">
        <f ca="1"/>
        <v>#NAME?</v>
      </c>
      <c r="X22" s="125" t="e">
        <f ca="1"/>
        <v>#NAME?</v>
      </c>
      <c r="Y22" s="125" t="e">
        <f ca="1"/>
        <v>#NAME?</v>
      </c>
      <c r="Z22" s="125" t="e">
        <f ca="1"/>
        <v>#NAME?</v>
      </c>
      <c r="AA22" t="e">
        <f ca="1"/>
        <v>#NAME?</v>
      </c>
      <c r="AB22" t="e">
        <f ca="1"/>
        <v>#NAME?</v>
      </c>
      <c r="AC22" t="e">
        <f ca="1"/>
        <v>#NAME?</v>
      </c>
      <c r="AD22" t="e">
        <f ca="1"/>
        <v>#NAME?</v>
      </c>
      <c r="AE22" t="e">
        <f ca="1"/>
        <v>#NAME?</v>
      </c>
      <c r="AF22" t="e">
        <f ca="1"/>
        <v>#NAME?</v>
      </c>
      <c r="AG22" t="e">
        <f ca="1"/>
        <v>#NAME?</v>
      </c>
      <c r="AH22" t="e">
        <f ca="1"/>
        <v>#NAME?</v>
      </c>
      <c r="AI22" t="e">
        <f ca="1"/>
        <v>#NAME?</v>
      </c>
      <c r="AJ22" t="e">
        <f ca="1"/>
        <v>#NAME?</v>
      </c>
      <c r="AK22" t="e">
        <f ca="1"/>
        <v>#NAME?</v>
      </c>
      <c r="AL22" t="e">
        <f ca="1"/>
        <v>#NAME?</v>
      </c>
      <c r="AM22" t="e">
        <f ca="1"/>
        <v>#NAME?</v>
      </c>
      <c r="AN22" t="e">
        <f ca="1"/>
        <v>#NAME?</v>
      </c>
      <c r="AO22" t="e">
        <f ca="1"/>
        <v>#NAME?</v>
      </c>
      <c r="AP22" t="e">
        <f ca="1"/>
        <v>#NAME?</v>
      </c>
      <c r="AQ22" t="e">
        <f ca="1"/>
        <v>#NAME?</v>
      </c>
      <c r="AR22" t="e">
        <f ca="1"/>
        <v>#NAME?</v>
      </c>
      <c r="AS22" t="e">
        <f ca="1"/>
        <v>#NAME?</v>
      </c>
      <c r="AT22" t="e">
        <f ca="1"/>
        <v>#NAME?</v>
      </c>
      <c r="AU22" t="e">
        <f ca="1"/>
        <v>#NAME?</v>
      </c>
      <c r="AV22" t="e">
        <f ca="1"/>
        <v>#NAME?</v>
      </c>
      <c r="AW22" t="e">
        <f ca="1"/>
        <v>#NAME?</v>
      </c>
      <c r="AX22" t="e">
        <f ca="1"/>
        <v>#NAME?</v>
      </c>
      <c r="AY22" t="e">
        <f ca="1"/>
        <v>#NAME?</v>
      </c>
      <c r="AZ22" t="e">
        <f ca="1"/>
        <v>#NAME?</v>
      </c>
      <c r="BA22" t="e">
        <f ca="1"/>
        <v>#NAME?</v>
      </c>
      <c r="BB22" t="e">
        <f ca="1"/>
        <v>#NAME?</v>
      </c>
      <c r="BC22" t="e">
        <f ca="1"/>
        <v>#NAME?</v>
      </c>
      <c r="BD22" t="e">
        <f ca="1"/>
        <v>#NAME?</v>
      </c>
      <c r="BE22" t="e">
        <f ca="1"/>
        <v>#NAME?</v>
      </c>
      <c r="BF22" t="e">
        <f ca="1"/>
        <v>#NAME?</v>
      </c>
      <c r="BG22" t="e">
        <f ca="1"/>
        <v>#NAME?</v>
      </c>
      <c r="BH22" t="e">
        <f ca="1"/>
        <v>#NAME?</v>
      </c>
      <c r="BI22" t="e">
        <f ca="1"/>
        <v>#NAME?</v>
      </c>
      <c r="BJ22" t="e">
        <f ca="1"/>
        <v>#NAME?</v>
      </c>
      <c r="BK22" t="e">
        <f ca="1"/>
        <v>#NAME?</v>
      </c>
      <c r="BL22" t="e">
        <f ca="1"/>
        <v>#NAME?</v>
      </c>
      <c r="BM22" t="e">
        <f ca="1"/>
        <v>#NAME?</v>
      </c>
      <c r="BN22" t="e">
        <f ca="1"/>
        <v>#NAME?</v>
      </c>
      <c r="BO22" t="e">
        <f ca="1"/>
        <v>#NAME?</v>
      </c>
      <c r="BP22" t="e">
        <f ca="1"/>
        <v>#NAME?</v>
      </c>
      <c r="BQ22" t="e">
        <f ca="1"/>
        <v>#NAME?</v>
      </c>
      <c r="BR22" t="e">
        <f ca="1"/>
        <v>#NAME?</v>
      </c>
      <c r="BS22" t="e">
        <f ca="1"/>
        <v>#NAME?</v>
      </c>
      <c r="BT22" t="e">
        <f ca="1"/>
        <v>#NAME?</v>
      </c>
      <c r="BU22" t="e">
        <f ca="1"/>
        <v>#NAME?</v>
      </c>
      <c r="BV22" t="e">
        <f ca="1"/>
        <v>#NAME?</v>
      </c>
      <c r="BW22" t="e">
        <f ca="1"/>
        <v>#NAME?</v>
      </c>
      <c r="BX22" t="e">
        <f ca="1"/>
        <v>#NAME?</v>
      </c>
      <c r="BY22" t="e">
        <f ca="1"/>
        <v>#NAME?</v>
      </c>
      <c r="BZ22" t="e">
        <f ca="1"/>
        <v>#NAME?</v>
      </c>
      <c r="CA22" t="e">
        <f ca="1"/>
        <v>#NAME?</v>
      </c>
      <c r="CB22" t="e">
        <f ca="1"/>
        <v>#NAME?</v>
      </c>
      <c r="CC22" t="e">
        <f ca="1"/>
        <v>#NAME?</v>
      </c>
      <c r="CD22" t="e">
        <f ca="1"/>
        <v>#NAME?</v>
      </c>
      <c r="CE22" t="e">
        <f ca="1"/>
        <v>#NAME?</v>
      </c>
      <c r="CF22" t="e">
        <f ca="1"/>
        <v>#NAME?</v>
      </c>
      <c r="CG22" t="e">
        <f ca="1"/>
        <v>#NAME?</v>
      </c>
      <c r="CH22" t="e">
        <f ca="1"/>
        <v>#NAME?</v>
      </c>
      <c r="CI22" t="e">
        <f ca="1"/>
        <v>#NAME?</v>
      </c>
      <c r="CJ22" t="e">
        <f ca="1"/>
        <v>#NAME?</v>
      </c>
      <c r="CK22" t="e">
        <f ca="1"/>
        <v>#NAME?</v>
      </c>
      <c r="CL22" t="e">
        <f ca="1"/>
        <v>#NAME?</v>
      </c>
      <c r="CM22" t="e">
        <f ca="1"/>
        <v>#NAME?</v>
      </c>
      <c r="CN22" t="e">
        <f ca="1"/>
        <v>#NAME?</v>
      </c>
      <c r="CO22" t="e">
        <f ca="1"/>
        <v>#NAME?</v>
      </c>
      <c r="CP22" t="e">
        <f ca="1"/>
        <v>#NAME?</v>
      </c>
      <c r="CQ22" t="e">
        <f ca="1"/>
        <v>#NAME?</v>
      </c>
      <c r="CR22" t="e">
        <f ca="1"/>
        <v>#NAME?</v>
      </c>
      <c r="CS22" t="e">
        <f ca="1"/>
        <v>#NAME?</v>
      </c>
      <c r="CT22" t="e">
        <f ca="1"/>
        <v>#NAME?</v>
      </c>
      <c r="CU22" t="e">
        <f ca="1"/>
        <v>#NAME?</v>
      </c>
      <c r="CV22" t="e">
        <f ca="1"/>
        <v>#NAME?</v>
      </c>
      <c r="CW22" t="e">
        <f ca="1"/>
        <v>#NAME?</v>
      </c>
      <c r="CX22" t="e">
        <f ca="1"/>
        <v>#NAME?</v>
      </c>
      <c r="CY22" t="e">
        <f ca="1"/>
        <v>#NAME?</v>
      </c>
      <c r="CZ22" t="e">
        <f ca="1"/>
        <v>#NAME?</v>
      </c>
      <c r="DA22" t="e">
        <f ca="1"/>
        <v>#NAME?</v>
      </c>
      <c r="DB22" t="e">
        <f ca="1"/>
        <v>#NAME?</v>
      </c>
    </row>
    <row r="23" spans="1:106" ht="13.2">
      <c r="A23" s="125"/>
      <c r="B23" s="134"/>
      <c r="C23" s="135"/>
      <c r="D23" s="135"/>
      <c r="E23" s="136"/>
      <c r="F23" s="125"/>
      <c r="G23" s="125" t="e">
        <f t="array" aca="1" ref="G23:DB23" ca="1">_xludf.IFNA(TRANSPOSE(OFFSET($B$3,1,MATCH('Inventory List'!$C26,$B$3:$E$3,0)-1,100,1)),"")</f>
        <v>#NAME?</v>
      </c>
      <c r="H23" s="125" t="e">
        <f ca="1"/>
        <v>#NAME?</v>
      </c>
      <c r="I23" s="125" t="e">
        <f ca="1"/>
        <v>#NAME?</v>
      </c>
      <c r="J23" s="125" t="e">
        <f ca="1"/>
        <v>#NAME?</v>
      </c>
      <c r="K23" s="125" t="e">
        <f ca="1"/>
        <v>#NAME?</v>
      </c>
      <c r="L23" s="125" t="e">
        <f ca="1"/>
        <v>#NAME?</v>
      </c>
      <c r="M23" s="125" t="e">
        <f ca="1"/>
        <v>#NAME?</v>
      </c>
      <c r="N23" s="125" t="e">
        <f ca="1"/>
        <v>#NAME?</v>
      </c>
      <c r="O23" s="125" t="e">
        <f ca="1"/>
        <v>#NAME?</v>
      </c>
      <c r="P23" s="125" t="e">
        <f ca="1"/>
        <v>#NAME?</v>
      </c>
      <c r="Q23" s="125" t="e">
        <f ca="1"/>
        <v>#NAME?</v>
      </c>
      <c r="R23" s="125" t="e">
        <f ca="1"/>
        <v>#NAME?</v>
      </c>
      <c r="S23" s="125" t="e">
        <f ca="1"/>
        <v>#NAME?</v>
      </c>
      <c r="T23" s="125" t="e">
        <f ca="1"/>
        <v>#NAME?</v>
      </c>
      <c r="U23" s="125" t="e">
        <f ca="1"/>
        <v>#NAME?</v>
      </c>
      <c r="V23" s="125" t="e">
        <f ca="1"/>
        <v>#NAME?</v>
      </c>
      <c r="W23" s="125" t="e">
        <f ca="1"/>
        <v>#NAME?</v>
      </c>
      <c r="X23" s="125" t="e">
        <f ca="1"/>
        <v>#NAME?</v>
      </c>
      <c r="Y23" s="125" t="e">
        <f ca="1"/>
        <v>#NAME?</v>
      </c>
      <c r="Z23" s="125" t="e">
        <f ca="1"/>
        <v>#NAME?</v>
      </c>
      <c r="AA23" t="e">
        <f ca="1"/>
        <v>#NAME?</v>
      </c>
      <c r="AB23" t="e">
        <f ca="1"/>
        <v>#NAME?</v>
      </c>
      <c r="AC23" t="e">
        <f ca="1"/>
        <v>#NAME?</v>
      </c>
      <c r="AD23" t="e">
        <f ca="1"/>
        <v>#NAME?</v>
      </c>
      <c r="AE23" t="e">
        <f ca="1"/>
        <v>#NAME?</v>
      </c>
      <c r="AF23" t="e">
        <f ca="1"/>
        <v>#NAME?</v>
      </c>
      <c r="AG23" t="e">
        <f ca="1"/>
        <v>#NAME?</v>
      </c>
      <c r="AH23" t="e">
        <f ca="1"/>
        <v>#NAME?</v>
      </c>
      <c r="AI23" t="e">
        <f ca="1"/>
        <v>#NAME?</v>
      </c>
      <c r="AJ23" t="e">
        <f ca="1"/>
        <v>#NAME?</v>
      </c>
      <c r="AK23" t="e">
        <f ca="1"/>
        <v>#NAME?</v>
      </c>
      <c r="AL23" t="e">
        <f ca="1"/>
        <v>#NAME?</v>
      </c>
      <c r="AM23" t="e">
        <f ca="1"/>
        <v>#NAME?</v>
      </c>
      <c r="AN23" t="e">
        <f ca="1"/>
        <v>#NAME?</v>
      </c>
      <c r="AO23" t="e">
        <f ca="1"/>
        <v>#NAME?</v>
      </c>
      <c r="AP23" t="e">
        <f ca="1"/>
        <v>#NAME?</v>
      </c>
      <c r="AQ23" t="e">
        <f ca="1"/>
        <v>#NAME?</v>
      </c>
      <c r="AR23" t="e">
        <f ca="1"/>
        <v>#NAME?</v>
      </c>
      <c r="AS23" t="e">
        <f ca="1"/>
        <v>#NAME?</v>
      </c>
      <c r="AT23" t="e">
        <f ca="1"/>
        <v>#NAME?</v>
      </c>
      <c r="AU23" t="e">
        <f ca="1"/>
        <v>#NAME?</v>
      </c>
      <c r="AV23" t="e">
        <f ca="1"/>
        <v>#NAME?</v>
      </c>
      <c r="AW23" t="e">
        <f ca="1"/>
        <v>#NAME?</v>
      </c>
      <c r="AX23" t="e">
        <f ca="1"/>
        <v>#NAME?</v>
      </c>
      <c r="AY23" t="e">
        <f ca="1"/>
        <v>#NAME?</v>
      </c>
      <c r="AZ23" t="e">
        <f ca="1"/>
        <v>#NAME?</v>
      </c>
      <c r="BA23" t="e">
        <f ca="1"/>
        <v>#NAME?</v>
      </c>
      <c r="BB23" t="e">
        <f ca="1"/>
        <v>#NAME?</v>
      </c>
      <c r="BC23" t="e">
        <f ca="1"/>
        <v>#NAME?</v>
      </c>
      <c r="BD23" t="e">
        <f ca="1"/>
        <v>#NAME?</v>
      </c>
      <c r="BE23" t="e">
        <f ca="1"/>
        <v>#NAME?</v>
      </c>
      <c r="BF23" t="e">
        <f ca="1"/>
        <v>#NAME?</v>
      </c>
      <c r="BG23" t="e">
        <f ca="1"/>
        <v>#NAME?</v>
      </c>
      <c r="BH23" t="e">
        <f ca="1"/>
        <v>#NAME?</v>
      </c>
      <c r="BI23" t="e">
        <f ca="1"/>
        <v>#NAME?</v>
      </c>
      <c r="BJ23" t="e">
        <f ca="1"/>
        <v>#NAME?</v>
      </c>
      <c r="BK23" t="e">
        <f ca="1"/>
        <v>#NAME?</v>
      </c>
      <c r="BL23" t="e">
        <f ca="1"/>
        <v>#NAME?</v>
      </c>
      <c r="BM23" t="e">
        <f ca="1"/>
        <v>#NAME?</v>
      </c>
      <c r="BN23" t="e">
        <f ca="1"/>
        <v>#NAME?</v>
      </c>
      <c r="BO23" t="e">
        <f ca="1"/>
        <v>#NAME?</v>
      </c>
      <c r="BP23" t="e">
        <f ca="1"/>
        <v>#NAME?</v>
      </c>
      <c r="BQ23" t="e">
        <f ca="1"/>
        <v>#NAME?</v>
      </c>
      <c r="BR23" t="e">
        <f ca="1"/>
        <v>#NAME?</v>
      </c>
      <c r="BS23" t="e">
        <f ca="1"/>
        <v>#NAME?</v>
      </c>
      <c r="BT23" t="e">
        <f ca="1"/>
        <v>#NAME?</v>
      </c>
      <c r="BU23" t="e">
        <f ca="1"/>
        <v>#NAME?</v>
      </c>
      <c r="BV23" t="e">
        <f ca="1"/>
        <v>#NAME?</v>
      </c>
      <c r="BW23" t="e">
        <f ca="1"/>
        <v>#NAME?</v>
      </c>
      <c r="BX23" t="e">
        <f ca="1"/>
        <v>#NAME?</v>
      </c>
      <c r="BY23" t="e">
        <f ca="1"/>
        <v>#NAME?</v>
      </c>
      <c r="BZ23" t="e">
        <f ca="1"/>
        <v>#NAME?</v>
      </c>
      <c r="CA23" t="e">
        <f ca="1"/>
        <v>#NAME?</v>
      </c>
      <c r="CB23" t="e">
        <f ca="1"/>
        <v>#NAME?</v>
      </c>
      <c r="CC23" t="e">
        <f ca="1"/>
        <v>#NAME?</v>
      </c>
      <c r="CD23" t="e">
        <f ca="1"/>
        <v>#NAME?</v>
      </c>
      <c r="CE23" t="e">
        <f ca="1"/>
        <v>#NAME?</v>
      </c>
      <c r="CF23" t="e">
        <f ca="1"/>
        <v>#NAME?</v>
      </c>
      <c r="CG23" t="e">
        <f ca="1"/>
        <v>#NAME?</v>
      </c>
      <c r="CH23" t="e">
        <f ca="1"/>
        <v>#NAME?</v>
      </c>
      <c r="CI23" t="e">
        <f ca="1"/>
        <v>#NAME?</v>
      </c>
      <c r="CJ23" t="e">
        <f ca="1"/>
        <v>#NAME?</v>
      </c>
      <c r="CK23" t="e">
        <f ca="1"/>
        <v>#NAME?</v>
      </c>
      <c r="CL23" t="e">
        <f ca="1"/>
        <v>#NAME?</v>
      </c>
      <c r="CM23" t="e">
        <f ca="1"/>
        <v>#NAME?</v>
      </c>
      <c r="CN23" t="e">
        <f ca="1"/>
        <v>#NAME?</v>
      </c>
      <c r="CO23" t="e">
        <f ca="1"/>
        <v>#NAME?</v>
      </c>
      <c r="CP23" t="e">
        <f ca="1"/>
        <v>#NAME?</v>
      </c>
      <c r="CQ23" t="e">
        <f ca="1"/>
        <v>#NAME?</v>
      </c>
      <c r="CR23" t="e">
        <f ca="1"/>
        <v>#NAME?</v>
      </c>
      <c r="CS23" t="e">
        <f ca="1"/>
        <v>#NAME?</v>
      </c>
      <c r="CT23" t="e">
        <f ca="1"/>
        <v>#NAME?</v>
      </c>
      <c r="CU23" t="e">
        <f ca="1"/>
        <v>#NAME?</v>
      </c>
      <c r="CV23" t="e">
        <f ca="1"/>
        <v>#NAME?</v>
      </c>
      <c r="CW23" t="e">
        <f ca="1"/>
        <v>#NAME?</v>
      </c>
      <c r="CX23" t="e">
        <f ca="1"/>
        <v>#NAME?</v>
      </c>
      <c r="CY23" t="e">
        <f ca="1"/>
        <v>#NAME?</v>
      </c>
      <c r="CZ23" t="e">
        <f ca="1"/>
        <v>#NAME?</v>
      </c>
      <c r="DA23" t="e">
        <f ca="1"/>
        <v>#NAME?</v>
      </c>
      <c r="DB23" t="e">
        <f ca="1"/>
        <v>#NAME?</v>
      </c>
    </row>
    <row r="24" spans="1:106" ht="13.2">
      <c r="A24" s="125"/>
      <c r="B24" s="134"/>
      <c r="C24" s="135"/>
      <c r="D24" s="135"/>
      <c r="E24" s="136"/>
      <c r="F24" s="125"/>
      <c r="G24" s="125" t="e">
        <f t="array" aca="1" ref="G24" ca="1">_xludf.IFNA(TRANSPOSE(OFFSET($B$3,1,MATCH('Inventory List'!$C27,$B$3:$E$3,0)-1,100,1)),"")</f>
        <v>#NAME?</v>
      </c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</row>
    <row r="25" spans="1:106" ht="13.2">
      <c r="A25" s="125"/>
      <c r="B25" s="134"/>
      <c r="C25" s="135"/>
      <c r="D25" s="135"/>
      <c r="E25" s="136"/>
      <c r="F25" s="125"/>
      <c r="G25" s="125" t="e">
        <f t="array" aca="1" ref="G25" ca="1">_xludf.IFNA(TRANSPOSE(OFFSET($B$3,1,MATCH('Inventory List'!$C28,$B$3:$E$3,0)-1,100,1)),"")</f>
        <v>#NAME?</v>
      </c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</row>
    <row r="26" spans="1:106" ht="13.2">
      <c r="A26" s="125"/>
      <c r="B26" s="134"/>
      <c r="C26" s="135"/>
      <c r="D26" s="135"/>
      <c r="E26" s="136"/>
      <c r="F26" s="125"/>
      <c r="G26" s="125" t="e">
        <f t="array" aca="1" ref="G26" ca="1">_xludf.IFNA(TRANSPOSE(OFFSET($B$3,1,MATCH('Inventory List'!$C29,$B$3:$E$3,0)-1,100,1)),"")</f>
        <v>#NAME?</v>
      </c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</row>
    <row r="27" spans="1:106" ht="13.2">
      <c r="A27" s="125"/>
      <c r="B27" s="134"/>
      <c r="C27" s="135"/>
      <c r="D27" s="135"/>
      <c r="E27" s="136"/>
      <c r="F27" s="125"/>
      <c r="G27" s="125" t="e">
        <f t="array" aca="1" ref="G27" ca="1">_xludf.IFNA(TRANSPOSE(OFFSET($B$3,1,MATCH('Inventory List'!$C30,$B$3:$E$3,0)-1,100,1)),"")</f>
        <v>#NAME?</v>
      </c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</row>
    <row r="28" spans="1:106" ht="13.2">
      <c r="A28" s="125"/>
      <c r="B28" s="134"/>
      <c r="C28" s="135"/>
      <c r="D28" s="135"/>
      <c r="E28" s="136"/>
      <c r="F28" s="125"/>
      <c r="G28" s="125" t="e">
        <f t="array" aca="1" ref="G28" ca="1">_xludf.IFNA(TRANSPOSE(OFFSET($B$3,1,MATCH('Inventory List'!$C31,$B$3:$E$3,0)-1,100,1)),"")</f>
        <v>#NAME?</v>
      </c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</row>
    <row r="29" spans="1:106" ht="13.2">
      <c r="A29" s="125"/>
      <c r="B29" s="134"/>
      <c r="C29" s="135"/>
      <c r="D29" s="135"/>
      <c r="E29" s="136"/>
      <c r="F29" s="125"/>
      <c r="G29" s="125" t="e">
        <f t="array" aca="1" ref="G29" ca="1">_xludf.IFNA(TRANSPOSE(OFFSET($B$3,1,MATCH('Inventory List'!$C32,$B$3:$E$3,0)-1,100,1)),"")</f>
        <v>#NAME?</v>
      </c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</row>
    <row r="30" spans="1:106" ht="13.2">
      <c r="A30" s="125"/>
      <c r="B30" s="134"/>
      <c r="C30" s="135"/>
      <c r="D30" s="135"/>
      <c r="E30" s="136"/>
      <c r="F30" s="125"/>
      <c r="G30" s="125" t="e">
        <f t="array" aca="1" ref="G30" ca="1">_xludf.IFNA(TRANSPOSE(OFFSET($B$3,1,MATCH('Inventory List'!$C33,$B$3:$E$3,0)-1,100,1)),"")</f>
        <v>#NAME?</v>
      </c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</row>
    <row r="31" spans="1:106" ht="13.2">
      <c r="A31" s="125"/>
      <c r="B31" s="134"/>
      <c r="C31" s="135"/>
      <c r="D31" s="135"/>
      <c r="E31" s="136"/>
      <c r="F31" s="125"/>
      <c r="G31" s="125" t="e">
        <f t="array" aca="1" ref="G31" ca="1">_xludf.IFNA(TRANSPOSE(OFFSET($B$3,1,MATCH('Inventory List'!$C34,$B$3:$E$3,0)-1,100,1)),"")</f>
        <v>#NAME?</v>
      </c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</row>
    <row r="32" spans="1:106" ht="13.2">
      <c r="A32" s="125"/>
      <c r="B32" s="134"/>
      <c r="C32" s="135"/>
      <c r="D32" s="135"/>
      <c r="E32" s="136"/>
      <c r="F32" s="125"/>
      <c r="G32" s="125" t="e">
        <f t="array" aca="1" ref="G32" ca="1">_xludf.IFNA(TRANSPOSE(OFFSET($B$3,1,MATCH('Inventory List'!$C35,$B$3:$E$3,0)-1,100,1)),"")</f>
        <v>#NAME?</v>
      </c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</row>
    <row r="33" spans="1:26" ht="13.2">
      <c r="A33" s="125"/>
      <c r="B33" s="134"/>
      <c r="C33" s="135"/>
      <c r="D33" s="135"/>
      <c r="E33" s="136"/>
      <c r="F33" s="125"/>
      <c r="G33" s="125" t="e">
        <f t="array" aca="1" ref="G33" ca="1">_xludf.IFNA(TRANSPOSE(OFFSET($B$3,1,MATCH('Inventory List'!$C36,$B$3:$E$3,0)-1,100,1)),"")</f>
        <v>#NAME?</v>
      </c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</row>
    <row r="34" spans="1:26" ht="13.2">
      <c r="A34" s="125"/>
      <c r="B34" s="134"/>
      <c r="C34" s="135"/>
      <c r="D34" s="135"/>
      <c r="E34" s="136"/>
      <c r="F34" s="125"/>
      <c r="G34" s="125" t="e">
        <f t="array" aca="1" ref="G34" ca="1">_xludf.IFNA(TRANSPOSE(OFFSET($B$3,1,MATCH('Inventory List'!$C37,$B$3:$E$3,0)-1,100,1)),"")</f>
        <v>#NAME?</v>
      </c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</row>
    <row r="35" spans="1:26" ht="13.2">
      <c r="A35" s="125"/>
      <c r="B35" s="134"/>
      <c r="C35" s="135"/>
      <c r="D35" s="135"/>
      <c r="E35" s="136"/>
      <c r="F35" s="125"/>
      <c r="G35" s="125" t="e">
        <f t="array" aca="1" ref="G35" ca="1">_xludf.IFNA(TRANSPOSE(OFFSET($B$3,1,MATCH('Inventory List'!$C38,$B$3:$E$3,0)-1,100,1)),"")</f>
        <v>#NAME?</v>
      </c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</row>
    <row r="36" spans="1:26" ht="13.2">
      <c r="A36" s="125"/>
      <c r="B36" s="134"/>
      <c r="C36" s="135"/>
      <c r="D36" s="135"/>
      <c r="E36" s="136"/>
      <c r="F36" s="125"/>
      <c r="G36" s="125" t="e">
        <f t="array" aca="1" ref="G36" ca="1">_xludf.IFNA(TRANSPOSE(OFFSET($B$3,1,MATCH('Inventory List'!$C39,$B$3:$E$3,0)-1,100,1)),"")</f>
        <v>#NAME?</v>
      </c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</row>
    <row r="37" spans="1:26" ht="13.2">
      <c r="A37" s="125"/>
      <c r="B37" s="134"/>
      <c r="C37" s="135"/>
      <c r="D37" s="135"/>
      <c r="E37" s="136"/>
      <c r="F37" s="125"/>
      <c r="G37" s="125" t="e">
        <f t="array" aca="1" ref="G37" ca="1">_xludf.IFNA(TRANSPOSE(OFFSET($B$3,1,MATCH('Inventory List'!$C40,$B$3:$E$3,0)-1,100,1)),"")</f>
        <v>#NAME?</v>
      </c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</row>
    <row r="38" spans="1:26" ht="13.2">
      <c r="A38" s="125"/>
      <c r="B38" s="134"/>
      <c r="C38" s="135"/>
      <c r="D38" s="135"/>
      <c r="E38" s="136"/>
      <c r="F38" s="125"/>
      <c r="G38" s="125" t="e">
        <f t="array" aca="1" ref="G38" ca="1">_xludf.IFNA(TRANSPOSE(OFFSET($B$3,1,MATCH('Inventory List'!$C41,$B$3:$E$3,0)-1,100,1)),"")</f>
        <v>#NAME?</v>
      </c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</row>
    <row r="39" spans="1:26" ht="13.2">
      <c r="A39" s="125"/>
      <c r="B39" s="134"/>
      <c r="C39" s="135"/>
      <c r="D39" s="135"/>
      <c r="E39" s="136"/>
      <c r="F39" s="125"/>
      <c r="G39" s="125" t="e">
        <f t="array" aca="1" ref="G39" ca="1">_xludf.IFNA(TRANSPOSE(OFFSET($B$3,1,MATCH('Inventory List'!$C42,$B$3:$E$3,0)-1,100,1)),"")</f>
        <v>#NAME?</v>
      </c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</row>
    <row r="40" spans="1:26" ht="13.2">
      <c r="A40" s="125"/>
      <c r="B40" s="134"/>
      <c r="C40" s="135"/>
      <c r="D40" s="135"/>
      <c r="E40" s="136"/>
      <c r="F40" s="125"/>
      <c r="G40" s="125" t="e">
        <f t="array" aca="1" ref="G40" ca="1">_xludf.IFNA(TRANSPOSE(OFFSET($B$3,1,MATCH('Inventory List'!$C43,$B$3:$E$3,0)-1,100,1)),"")</f>
        <v>#NAME?</v>
      </c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</row>
    <row r="41" spans="1:26" ht="13.2">
      <c r="A41" s="125"/>
      <c r="B41" s="134"/>
      <c r="C41" s="135"/>
      <c r="D41" s="135"/>
      <c r="E41" s="136"/>
      <c r="F41" s="125"/>
      <c r="G41" s="125" t="e">
        <f t="array" aca="1" ref="G41" ca="1">_xludf.IFNA(TRANSPOSE(OFFSET($B$3,1,MATCH('Inventory List'!$C44,$B$3:$E$3,0)-1,100,1)),"")</f>
        <v>#NAME?</v>
      </c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</row>
    <row r="42" spans="1:26" ht="13.2">
      <c r="A42" s="125"/>
      <c r="B42" s="134"/>
      <c r="C42" s="135"/>
      <c r="D42" s="135"/>
      <c r="E42" s="136"/>
      <c r="F42" s="125"/>
      <c r="G42" s="125" t="e">
        <f t="array" aca="1" ref="G42" ca="1">_xludf.IFNA(TRANSPOSE(OFFSET($B$3,1,MATCH('Inventory List'!$C45,$B$3:$E$3,0)-1,100,1)),"")</f>
        <v>#NAME?</v>
      </c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</row>
    <row r="43" spans="1:26" ht="13.2">
      <c r="A43" s="125"/>
      <c r="B43" s="134"/>
      <c r="C43" s="135"/>
      <c r="D43" s="135"/>
      <c r="E43" s="136"/>
      <c r="F43" s="125"/>
      <c r="G43" s="125" t="e">
        <f t="array" aca="1" ref="G43" ca="1">_xludf.IFNA(TRANSPOSE(OFFSET($B$3,1,MATCH('Inventory List'!$C46,$B$3:$E$3,0)-1,100,1)),"")</f>
        <v>#NAME?</v>
      </c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</row>
    <row r="44" spans="1:26" ht="13.2">
      <c r="A44" s="125"/>
      <c r="B44" s="134"/>
      <c r="C44" s="135"/>
      <c r="D44" s="135"/>
      <c r="E44" s="136"/>
      <c r="F44" s="125"/>
      <c r="G44" s="125" t="e">
        <f t="array" aca="1" ref="G44" ca="1">_xludf.IFNA(TRANSPOSE(OFFSET($B$3,1,MATCH('Inventory List'!$C47,$B$3:$E$3,0)-1,100,1)),"")</f>
        <v>#NAME?</v>
      </c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</row>
    <row r="45" spans="1:26" ht="13.2">
      <c r="A45" s="125"/>
      <c r="B45" s="134"/>
      <c r="C45" s="135"/>
      <c r="D45" s="135"/>
      <c r="E45" s="136"/>
      <c r="F45" s="125"/>
      <c r="G45" s="125" t="e">
        <f t="array" aca="1" ref="G45" ca="1">_xludf.IFNA(TRANSPOSE(OFFSET($B$3,1,MATCH('Inventory List'!$C48,$B$3:$E$3,0)-1,100,1)),"")</f>
        <v>#NAME?</v>
      </c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</row>
    <row r="46" spans="1:26" ht="13.2">
      <c r="A46" s="125"/>
      <c r="B46" s="134"/>
      <c r="C46" s="135"/>
      <c r="D46" s="135"/>
      <c r="E46" s="136"/>
      <c r="F46" s="125"/>
      <c r="G46" s="125" t="e">
        <f t="array" aca="1" ref="G46" ca="1">_xludf.IFNA(TRANSPOSE(OFFSET($B$3,1,MATCH('Inventory List'!$C49,$B$3:$E$3,0)-1,100,1)),"")</f>
        <v>#NAME?</v>
      </c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</row>
    <row r="47" spans="1:26" ht="13.2">
      <c r="A47" s="125"/>
      <c r="B47" s="134"/>
      <c r="C47" s="135"/>
      <c r="D47" s="135"/>
      <c r="E47" s="136"/>
      <c r="F47" s="125"/>
      <c r="G47" s="125" t="e">
        <f t="array" aca="1" ref="G47" ca="1">_xludf.IFNA(TRANSPOSE(OFFSET($B$3,1,MATCH('Inventory List'!$C50,$B$3:$E$3,0)-1,100,1)),"")</f>
        <v>#NAME?</v>
      </c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</row>
    <row r="48" spans="1:26" ht="13.2">
      <c r="A48" s="125"/>
      <c r="B48" s="134"/>
      <c r="C48" s="135"/>
      <c r="D48" s="135"/>
      <c r="E48" s="136"/>
      <c r="F48" s="125"/>
      <c r="G48" s="125" t="e">
        <f t="array" aca="1" ref="G48" ca="1">_xludf.IFNA(TRANSPOSE(OFFSET($B$3,1,MATCH('Inventory List'!$C51,$B$3:$E$3,0)-1,100,1)),"")</f>
        <v>#NAME?</v>
      </c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</row>
    <row r="49" spans="1:26" ht="13.2">
      <c r="A49" s="125"/>
      <c r="B49" s="134"/>
      <c r="C49" s="135"/>
      <c r="D49" s="135"/>
      <c r="E49" s="136"/>
      <c r="F49" s="125"/>
      <c r="G49" s="125" t="e">
        <f t="array" aca="1" ref="G49" ca="1">_xludf.IFNA(TRANSPOSE(OFFSET($B$3,1,MATCH('Inventory List'!$C52,$B$3:$E$3,0)-1,100,1)),"")</f>
        <v>#NAME?</v>
      </c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</row>
    <row r="50" spans="1:26" ht="13.2">
      <c r="A50" s="125"/>
      <c r="B50" s="134"/>
      <c r="C50" s="135"/>
      <c r="D50" s="135"/>
      <c r="E50" s="136"/>
      <c r="F50" s="125"/>
      <c r="G50" s="125" t="e">
        <f t="array" aca="1" ref="G50" ca="1">_xludf.IFNA(TRANSPOSE(OFFSET($B$3,1,MATCH('Inventory List'!$C53,$B$3:$E$3,0)-1,100,1)),"")</f>
        <v>#NAME?</v>
      </c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</row>
    <row r="51" spans="1:26" ht="13.2">
      <c r="A51" s="125"/>
      <c r="B51" s="134"/>
      <c r="C51" s="135"/>
      <c r="D51" s="135"/>
      <c r="E51" s="136"/>
      <c r="F51" s="125"/>
      <c r="G51" s="125" t="e">
        <f t="array" aca="1" ref="G51" ca="1">_xludf.IFNA(TRANSPOSE(OFFSET($B$3,1,MATCH('Inventory List'!$C54,$B$3:$E$3,0)-1,100,1)),"")</f>
        <v>#NAME?</v>
      </c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</row>
    <row r="52" spans="1:26" ht="13.2">
      <c r="A52" s="125"/>
      <c r="B52" s="134"/>
      <c r="C52" s="135"/>
      <c r="D52" s="135"/>
      <c r="E52" s="136"/>
      <c r="F52" s="125"/>
      <c r="G52" s="125" t="e">
        <f t="array" aca="1" ref="G52" ca="1">_xludf.IFNA(TRANSPOSE(OFFSET($B$3,1,MATCH('Inventory List'!$C55,$B$3:$E$3,0)-1,100,1)),"")</f>
        <v>#NAME?</v>
      </c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</row>
    <row r="53" spans="1:26" ht="13.2">
      <c r="A53" s="125"/>
      <c r="B53" s="134"/>
      <c r="C53" s="135"/>
      <c r="D53" s="135"/>
      <c r="E53" s="136"/>
      <c r="F53" s="125"/>
      <c r="G53" s="125" t="e">
        <f t="array" aca="1" ref="G53" ca="1">_xludf.IFNA(TRANSPOSE(OFFSET($B$3,1,MATCH('Inventory List'!$C56,$B$3:$E$3,0)-1,100,1)),"")</f>
        <v>#NAME?</v>
      </c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</row>
    <row r="54" spans="1:26" ht="13.2">
      <c r="A54" s="125"/>
      <c r="B54" s="134"/>
      <c r="C54" s="135"/>
      <c r="D54" s="135"/>
      <c r="E54" s="136"/>
      <c r="F54" s="125"/>
      <c r="G54" s="125" t="e">
        <f t="array" aca="1" ref="G54" ca="1">_xludf.IFNA(TRANSPOSE(OFFSET($B$3,1,MATCH('Inventory List'!$C57,$B$3:$E$3,0)-1,100,1)),"")</f>
        <v>#NAME?</v>
      </c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</row>
    <row r="55" spans="1:26" ht="13.2">
      <c r="A55" s="125"/>
      <c r="B55" s="134"/>
      <c r="C55" s="135"/>
      <c r="D55" s="135"/>
      <c r="E55" s="136"/>
      <c r="F55" s="125"/>
      <c r="G55" s="125" t="e">
        <f t="array" aca="1" ref="G55" ca="1">_xludf.IFNA(TRANSPOSE(OFFSET($B$3,1,MATCH('Inventory List'!$C58,$B$3:$E$3,0)-1,100,1)),"")</f>
        <v>#NAME?</v>
      </c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</row>
    <row r="56" spans="1:26" ht="13.2">
      <c r="A56" s="125"/>
      <c r="B56" s="134"/>
      <c r="C56" s="135"/>
      <c r="D56" s="135"/>
      <c r="E56" s="136"/>
      <c r="F56" s="125"/>
      <c r="G56" s="125" t="e">
        <f t="array" aca="1" ref="G56" ca="1">_xludf.IFNA(TRANSPOSE(OFFSET($B$3,1,MATCH('Inventory List'!$C59,$B$3:$E$3,0)-1,100,1)),"")</f>
        <v>#NAME?</v>
      </c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</row>
    <row r="57" spans="1:26" ht="13.2">
      <c r="A57" s="125"/>
      <c r="B57" s="134"/>
      <c r="C57" s="135"/>
      <c r="D57" s="135"/>
      <c r="E57" s="136"/>
      <c r="F57" s="125"/>
      <c r="G57" s="125" t="e">
        <f t="array" aca="1" ref="G57" ca="1">_xludf.IFNA(TRANSPOSE(OFFSET($B$3,1,MATCH('Inventory List'!$C60,$B$3:$E$3,0)-1,100,1)),"")</f>
        <v>#NAME?</v>
      </c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</row>
    <row r="58" spans="1:26" ht="13.2">
      <c r="A58" s="125"/>
      <c r="B58" s="134"/>
      <c r="C58" s="135"/>
      <c r="D58" s="135"/>
      <c r="E58" s="136"/>
      <c r="F58" s="125"/>
      <c r="G58" s="125" t="e">
        <f t="array" aca="1" ref="G58" ca="1">_xludf.IFNA(TRANSPOSE(OFFSET($B$3,1,MATCH('Inventory List'!$C61,$B$3:$E$3,0)-1,100,1)),"")</f>
        <v>#NAME?</v>
      </c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</row>
    <row r="59" spans="1:26" ht="13.2">
      <c r="A59" s="125"/>
      <c r="B59" s="134"/>
      <c r="C59" s="135"/>
      <c r="D59" s="135"/>
      <c r="E59" s="136"/>
      <c r="F59" s="125"/>
      <c r="G59" s="125" t="e">
        <f t="array" aca="1" ref="G59" ca="1">_xludf.IFNA(TRANSPOSE(OFFSET($B$3,1,MATCH('Inventory List'!$C62,$B$3:$E$3,0)-1,100,1)),"")</f>
        <v>#NAME?</v>
      </c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</row>
    <row r="60" spans="1:26" ht="13.2">
      <c r="A60" s="125"/>
      <c r="B60" s="134"/>
      <c r="C60" s="135"/>
      <c r="D60" s="135"/>
      <c r="E60" s="136"/>
      <c r="F60" s="125"/>
      <c r="G60" s="125" t="e">
        <f t="array" aca="1" ref="G60" ca="1">_xludf.IFNA(TRANSPOSE(OFFSET($B$3,1,MATCH('Inventory List'!$C63,$B$3:$E$3,0)-1,100,1)),"")</f>
        <v>#NAME?</v>
      </c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5"/>
    </row>
    <row r="61" spans="1:26" ht="13.2">
      <c r="A61" s="125"/>
      <c r="B61" s="134"/>
      <c r="C61" s="135"/>
      <c r="D61" s="135"/>
      <c r="E61" s="136"/>
      <c r="F61" s="125"/>
      <c r="G61" s="125" t="e">
        <f t="array" aca="1" ref="G61" ca="1">_xludf.IFNA(TRANSPOSE(OFFSET($B$3,1,MATCH('Inventory List'!$C64,$B$3:$E$3,0)-1,100,1)),"")</f>
        <v>#NAME?</v>
      </c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3.2">
      <c r="A62" s="125"/>
      <c r="B62" s="134"/>
      <c r="C62" s="135"/>
      <c r="D62" s="135"/>
      <c r="E62" s="136"/>
      <c r="F62" s="125"/>
      <c r="G62" s="125" t="e">
        <f t="array" aca="1" ref="G62" ca="1">_xludf.IFNA(TRANSPOSE(OFFSET($B$3,1,MATCH('Inventory List'!$C65,$B$3:$E$3,0)-1,100,1)),"")</f>
        <v>#NAME?</v>
      </c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5"/>
    </row>
    <row r="63" spans="1:26" ht="13.2">
      <c r="A63" s="125"/>
      <c r="B63" s="134"/>
      <c r="C63" s="135"/>
      <c r="D63" s="135"/>
      <c r="E63" s="136"/>
      <c r="F63" s="125"/>
      <c r="G63" s="125" t="e">
        <f t="array" aca="1" ref="G63" ca="1">_xludf.IFNA(TRANSPOSE(OFFSET($B$3,1,MATCH('Inventory List'!$C66,$B$3:$E$3,0)-1,100,1)),"")</f>
        <v>#NAME?</v>
      </c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5"/>
    </row>
    <row r="64" spans="1:26" ht="13.2">
      <c r="A64" s="125"/>
      <c r="B64" s="134"/>
      <c r="C64" s="135"/>
      <c r="D64" s="135"/>
      <c r="E64" s="136"/>
      <c r="F64" s="125"/>
      <c r="G64" s="125" t="e">
        <f t="array" aca="1" ref="G64" ca="1">_xludf.IFNA(TRANSPOSE(OFFSET($B$3,1,MATCH('Inventory List'!$C67,$B$3:$E$3,0)-1,100,1)),"")</f>
        <v>#NAME?</v>
      </c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5"/>
    </row>
    <row r="65" spans="1:26" ht="13.2">
      <c r="A65" s="125"/>
      <c r="B65" s="134"/>
      <c r="C65" s="135"/>
      <c r="D65" s="135"/>
      <c r="E65" s="136"/>
      <c r="F65" s="125"/>
      <c r="G65" s="125" t="e">
        <f t="array" aca="1" ref="G65" ca="1">_xludf.IFNA(TRANSPOSE(OFFSET($B$3,1,MATCH('Inventory List'!$C68,$B$3:$E$3,0)-1,100,1)),"")</f>
        <v>#NAME?</v>
      </c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5"/>
    </row>
    <row r="66" spans="1:26" ht="13.2">
      <c r="A66" s="125"/>
      <c r="B66" s="134"/>
      <c r="C66" s="135"/>
      <c r="D66" s="135"/>
      <c r="E66" s="136"/>
      <c r="F66" s="125"/>
      <c r="G66" s="125" t="e">
        <f t="array" aca="1" ref="G66" ca="1">_xludf.IFNA(TRANSPOSE(OFFSET($B$3,1,MATCH('Inventory List'!$C69,$B$3:$E$3,0)-1,100,1)),"")</f>
        <v>#NAME?</v>
      </c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5"/>
    </row>
    <row r="67" spans="1:26" ht="13.2">
      <c r="A67" s="125"/>
      <c r="B67" s="134"/>
      <c r="C67" s="135"/>
      <c r="D67" s="135"/>
      <c r="E67" s="136"/>
      <c r="F67" s="125"/>
      <c r="G67" s="125" t="e">
        <f t="array" aca="1" ref="G67" ca="1">_xludf.IFNA(TRANSPOSE(OFFSET($B$3,1,MATCH('Inventory List'!$C70,$B$3:$E$3,0)-1,100,1)),"")</f>
        <v>#NAME?</v>
      </c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5"/>
    </row>
    <row r="68" spans="1:26" ht="13.2">
      <c r="A68" s="125"/>
      <c r="B68" s="134"/>
      <c r="C68" s="135"/>
      <c r="D68" s="135"/>
      <c r="E68" s="136"/>
      <c r="F68" s="125"/>
      <c r="G68" s="125" t="e">
        <f t="array" aca="1" ref="G68" ca="1">_xludf.IFNA(TRANSPOSE(OFFSET($B$3,1,MATCH('Inventory List'!$C71,$B$3:$E$3,0)-1,100,1)),"")</f>
        <v>#NAME?</v>
      </c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5"/>
    </row>
    <row r="69" spans="1:26" ht="13.2">
      <c r="A69" s="125"/>
      <c r="B69" s="134"/>
      <c r="C69" s="135"/>
      <c r="D69" s="135"/>
      <c r="E69" s="136"/>
      <c r="F69" s="125"/>
      <c r="G69" s="125" t="e">
        <f t="array" aca="1" ref="G69" ca="1">_xludf.IFNA(TRANSPOSE(OFFSET($B$3,1,MATCH('Inventory List'!$C72,$B$3:$E$3,0)-1,100,1)),"")</f>
        <v>#NAME?</v>
      </c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5"/>
    </row>
    <row r="70" spans="1:26" ht="13.2">
      <c r="A70" s="125"/>
      <c r="B70" s="134"/>
      <c r="C70" s="135"/>
      <c r="D70" s="135"/>
      <c r="E70" s="136"/>
      <c r="F70" s="125"/>
      <c r="G70" s="125" t="e">
        <f t="array" aca="1" ref="G70" ca="1">_xludf.IFNA(TRANSPOSE(OFFSET($B$3,1,MATCH('Inventory List'!$C73,$B$3:$E$3,0)-1,100,1)),"")</f>
        <v>#NAME?</v>
      </c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5"/>
    </row>
    <row r="71" spans="1:26" ht="13.2">
      <c r="A71" s="125"/>
      <c r="B71" s="134"/>
      <c r="C71" s="135"/>
      <c r="D71" s="135"/>
      <c r="E71" s="136"/>
      <c r="F71" s="125"/>
      <c r="G71" s="125" t="e">
        <f t="array" aca="1" ref="G71" ca="1">_xludf.IFNA(TRANSPOSE(OFFSET($B$3,1,MATCH('Inventory List'!$C74,$B$3:$E$3,0)-1,100,1)),"")</f>
        <v>#NAME?</v>
      </c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5"/>
    </row>
    <row r="72" spans="1:26" ht="13.2">
      <c r="A72" s="125"/>
      <c r="B72" s="134"/>
      <c r="C72" s="135"/>
      <c r="D72" s="135"/>
      <c r="E72" s="136"/>
      <c r="F72" s="125"/>
      <c r="G72" s="125" t="e">
        <f t="array" aca="1" ref="G72" ca="1">_xludf.IFNA(TRANSPOSE(OFFSET($B$3,1,MATCH('Inventory List'!$C75,$B$3:$E$3,0)-1,100,1)),"")</f>
        <v>#NAME?</v>
      </c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5"/>
    </row>
    <row r="73" spans="1:26" ht="13.2">
      <c r="A73" s="125"/>
      <c r="B73" s="134"/>
      <c r="C73" s="135"/>
      <c r="D73" s="135"/>
      <c r="E73" s="136"/>
      <c r="F73" s="125"/>
      <c r="G73" s="125" t="e">
        <f t="array" aca="1" ref="G73" ca="1">_xludf.IFNA(TRANSPOSE(OFFSET($B$3,1,MATCH('Inventory List'!$C76,$B$3:$E$3,0)-1,100,1)),"")</f>
        <v>#NAME?</v>
      </c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5"/>
    </row>
    <row r="74" spans="1:26" ht="13.2">
      <c r="A74" s="125"/>
      <c r="B74" s="134"/>
      <c r="C74" s="135"/>
      <c r="D74" s="135"/>
      <c r="E74" s="136"/>
      <c r="F74" s="125"/>
      <c r="G74" s="125" t="e">
        <f t="array" aca="1" ref="G74" ca="1">_xludf.IFNA(TRANSPOSE(OFFSET($B$3,1,MATCH('Inventory List'!$C77,$B$3:$E$3,0)-1,100,1)),"")</f>
        <v>#NAME?</v>
      </c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5"/>
    </row>
    <row r="75" spans="1:26" ht="13.2">
      <c r="A75" s="125"/>
      <c r="B75" s="134"/>
      <c r="C75" s="135"/>
      <c r="D75" s="135"/>
      <c r="E75" s="136"/>
      <c r="F75" s="125"/>
      <c r="G75" s="125" t="e">
        <f t="array" aca="1" ref="G75" ca="1">_xludf.IFNA(TRANSPOSE(OFFSET($B$3,1,MATCH('Inventory List'!$C78,$B$3:$E$3,0)-1,100,1)),"")</f>
        <v>#NAME?</v>
      </c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</row>
    <row r="76" spans="1:26" ht="13.2">
      <c r="A76" s="125"/>
      <c r="B76" s="134"/>
      <c r="C76" s="135"/>
      <c r="D76" s="135"/>
      <c r="E76" s="136"/>
      <c r="F76" s="125"/>
      <c r="G76" s="125" t="e">
        <f t="array" aca="1" ref="G76" ca="1">_xludf.IFNA(TRANSPOSE(OFFSET($B$3,1,MATCH('Inventory List'!$C79,$B$3:$E$3,0)-1,100,1)),"")</f>
        <v>#NAME?</v>
      </c>
      <c r="H76" s="125"/>
      <c r="I76" s="125"/>
      <c r="J76" s="125"/>
      <c r="K76" s="125"/>
      <c r="L76" s="125"/>
      <c r="M76" s="125"/>
      <c r="N76" s="125"/>
      <c r="O76" s="125"/>
      <c r="P76" s="125"/>
      <c r="Q76" s="125"/>
      <c r="R76" s="125"/>
      <c r="S76" s="125"/>
      <c r="T76" s="125"/>
      <c r="U76" s="125"/>
      <c r="V76" s="125"/>
      <c r="W76" s="125"/>
      <c r="X76" s="125"/>
      <c r="Y76" s="125"/>
      <c r="Z76" s="125"/>
    </row>
    <row r="77" spans="1:26" ht="13.2">
      <c r="A77" s="125"/>
      <c r="B77" s="134"/>
      <c r="C77" s="135"/>
      <c r="D77" s="135"/>
      <c r="E77" s="136"/>
      <c r="F77" s="125"/>
      <c r="G77" s="125" t="e">
        <f t="array" aca="1" ref="G77" ca="1">_xludf.IFNA(TRANSPOSE(OFFSET($B$3,1,MATCH('Inventory List'!$C80,$B$3:$E$3,0)-1,100,1)),"")</f>
        <v>#NAME?</v>
      </c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125"/>
      <c r="S77" s="125"/>
      <c r="T77" s="125"/>
      <c r="U77" s="125"/>
      <c r="V77" s="125"/>
      <c r="W77" s="125"/>
      <c r="X77" s="125"/>
      <c r="Y77" s="125"/>
      <c r="Z77" s="125"/>
    </row>
    <row r="78" spans="1:26" ht="13.2">
      <c r="A78" s="125"/>
      <c r="B78" s="134"/>
      <c r="C78" s="135"/>
      <c r="D78" s="135"/>
      <c r="E78" s="136"/>
      <c r="F78" s="125"/>
      <c r="G78" s="125" t="e">
        <f t="array" aca="1" ref="G78" ca="1">_xludf.IFNA(TRANSPOSE(OFFSET($B$3,1,MATCH('Inventory List'!$C81,$B$3:$E$3,0)-1,100,1)),"")</f>
        <v>#NAME?</v>
      </c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125"/>
      <c r="U78" s="125"/>
      <c r="V78" s="125"/>
      <c r="W78" s="125"/>
      <c r="X78" s="125"/>
      <c r="Y78" s="125"/>
      <c r="Z78" s="125"/>
    </row>
    <row r="79" spans="1:26" ht="13.2">
      <c r="A79" s="125"/>
      <c r="B79" s="134"/>
      <c r="C79" s="135"/>
      <c r="D79" s="135"/>
      <c r="E79" s="136"/>
      <c r="F79" s="125"/>
      <c r="G79" s="125" t="e">
        <f t="array" aca="1" ref="G79" ca="1">_xludf.IFNA(TRANSPOSE(OFFSET($B$3,1,MATCH('Inventory List'!$C82,$B$3:$E$3,0)-1,100,1)),"")</f>
        <v>#NAME?</v>
      </c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T79" s="125"/>
      <c r="U79" s="125"/>
      <c r="V79" s="125"/>
      <c r="W79" s="125"/>
      <c r="X79" s="125"/>
      <c r="Y79" s="125"/>
      <c r="Z79" s="125"/>
    </row>
    <row r="80" spans="1:26" ht="13.2">
      <c r="A80" s="125"/>
      <c r="B80" s="134"/>
      <c r="C80" s="135"/>
      <c r="D80" s="135"/>
      <c r="E80" s="136"/>
      <c r="F80" s="125"/>
      <c r="G80" s="125" t="e">
        <f t="array" aca="1" ref="G80" ca="1">_xludf.IFNA(TRANSPOSE(OFFSET($B$3,1,MATCH('Inventory List'!$C83,$B$3:$E$3,0)-1,100,1)),"")</f>
        <v>#NAME?</v>
      </c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25"/>
      <c r="X80" s="125"/>
      <c r="Y80" s="125"/>
      <c r="Z80" s="125"/>
    </row>
    <row r="81" spans="1:26" ht="13.2">
      <c r="A81" s="125"/>
      <c r="B81" s="134"/>
      <c r="C81" s="135"/>
      <c r="D81" s="135"/>
      <c r="E81" s="136"/>
      <c r="F81" s="125"/>
      <c r="G81" s="125" t="e">
        <f t="array" aca="1" ref="G81" ca="1">_xludf.IFNA(TRANSPOSE(OFFSET($B$3,1,MATCH('Inventory List'!$C84,$B$3:$E$3,0)-1,100,1)),"")</f>
        <v>#NAME?</v>
      </c>
      <c r="H81" s="125"/>
      <c r="I81" s="125"/>
      <c r="J81" s="125"/>
      <c r="K81" s="125"/>
      <c r="L81" s="125"/>
      <c r="M81" s="125"/>
      <c r="N81" s="125"/>
      <c r="O81" s="125"/>
      <c r="P81" s="125"/>
      <c r="Q81" s="125"/>
      <c r="R81" s="125"/>
      <c r="S81" s="125"/>
      <c r="T81" s="125"/>
      <c r="U81" s="125"/>
      <c r="V81" s="125"/>
      <c r="W81" s="125"/>
      <c r="X81" s="125"/>
      <c r="Y81" s="125"/>
      <c r="Z81" s="125"/>
    </row>
    <row r="82" spans="1:26" ht="13.2">
      <c r="A82" s="125"/>
      <c r="B82" s="134"/>
      <c r="C82" s="135"/>
      <c r="D82" s="135"/>
      <c r="E82" s="136"/>
      <c r="F82" s="125"/>
      <c r="G82" s="125" t="e">
        <f t="array" aca="1" ref="G82" ca="1">_xludf.IFNA(TRANSPOSE(OFFSET($B$3,1,MATCH('Inventory List'!$C85,$B$3:$E$3,0)-1,100,1)),"")</f>
        <v>#NAME?</v>
      </c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T82" s="125"/>
      <c r="U82" s="125"/>
      <c r="V82" s="125"/>
      <c r="W82" s="125"/>
      <c r="X82" s="125"/>
      <c r="Y82" s="125"/>
      <c r="Z82" s="125"/>
    </row>
    <row r="83" spans="1:26" ht="13.2">
      <c r="A83" s="125"/>
      <c r="B83" s="134"/>
      <c r="C83" s="135"/>
      <c r="D83" s="135"/>
      <c r="E83" s="136"/>
      <c r="F83" s="125"/>
      <c r="G83" s="125" t="e">
        <f t="array" aca="1" ref="G83" ca="1">_xludf.IFNA(TRANSPOSE(OFFSET($B$3,1,MATCH('Inventory List'!$C86,$B$3:$E$3,0)-1,100,1)),"")</f>
        <v>#NAME?</v>
      </c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  <c r="T83" s="125"/>
      <c r="U83" s="125"/>
      <c r="V83" s="125"/>
      <c r="W83" s="125"/>
      <c r="X83" s="125"/>
      <c r="Y83" s="125"/>
      <c r="Z83" s="125"/>
    </row>
    <row r="84" spans="1:26" ht="13.2">
      <c r="A84" s="125"/>
      <c r="B84" s="134"/>
      <c r="C84" s="135"/>
      <c r="D84" s="135"/>
      <c r="E84" s="136"/>
      <c r="F84" s="125"/>
      <c r="G84" s="125" t="e">
        <f t="array" aca="1" ref="G84" ca="1">_xludf.IFNA(TRANSPOSE(OFFSET($B$3,1,MATCH('Inventory List'!$C87,$B$3:$E$3,0)-1,100,1)),"")</f>
        <v>#NAME?</v>
      </c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  <c r="T84" s="125"/>
      <c r="U84" s="125"/>
      <c r="V84" s="125"/>
      <c r="W84" s="125"/>
      <c r="X84" s="125"/>
      <c r="Y84" s="125"/>
      <c r="Z84" s="125"/>
    </row>
    <row r="85" spans="1:26" ht="13.2">
      <c r="A85" s="125"/>
      <c r="B85" s="134"/>
      <c r="C85" s="135"/>
      <c r="D85" s="135"/>
      <c r="E85" s="136"/>
      <c r="F85" s="125"/>
      <c r="G85" s="125" t="e">
        <f t="array" aca="1" ref="G85" ca="1">_xludf.IFNA(TRANSPOSE(OFFSET($B$3,1,MATCH('Inventory List'!$C88,$B$3:$E$3,0)-1,100,1)),"")</f>
        <v>#NAME?</v>
      </c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  <c r="T85" s="125"/>
      <c r="U85" s="125"/>
      <c r="V85" s="125"/>
      <c r="W85" s="125"/>
      <c r="X85" s="125"/>
      <c r="Y85" s="125"/>
      <c r="Z85" s="125"/>
    </row>
    <row r="86" spans="1:26" ht="13.2">
      <c r="A86" s="125"/>
      <c r="B86" s="134"/>
      <c r="C86" s="135"/>
      <c r="D86" s="135"/>
      <c r="E86" s="136"/>
      <c r="F86" s="125"/>
      <c r="G86" s="125" t="e">
        <f t="array" aca="1" ref="G86" ca="1">_xludf.IFNA(TRANSPOSE(OFFSET($B$3,1,MATCH('Inventory List'!$C89,$B$3:$E$3,0)-1,100,1)),"")</f>
        <v>#NAME?</v>
      </c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  <c r="T86" s="125"/>
      <c r="U86" s="125"/>
      <c r="V86" s="125"/>
      <c r="W86" s="125"/>
      <c r="X86" s="125"/>
      <c r="Y86" s="125"/>
      <c r="Z86" s="125"/>
    </row>
    <row r="87" spans="1:26" ht="13.2">
      <c r="A87" s="125"/>
      <c r="B87" s="134"/>
      <c r="C87" s="135"/>
      <c r="D87" s="135"/>
      <c r="E87" s="136"/>
      <c r="F87" s="125"/>
      <c r="G87" s="125" t="e">
        <f t="array" aca="1" ref="G87" ca="1">_xludf.IFNA(TRANSPOSE(OFFSET($B$3,1,MATCH('Inventory List'!$C90,$B$3:$E$3,0)-1,100,1)),"")</f>
        <v>#NAME?</v>
      </c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</row>
    <row r="88" spans="1:26" ht="13.2">
      <c r="A88" s="125"/>
      <c r="B88" s="134"/>
      <c r="C88" s="135"/>
      <c r="D88" s="135"/>
      <c r="E88" s="136"/>
      <c r="F88" s="125"/>
      <c r="G88" s="125" t="e">
        <f t="array" aca="1" ref="G88" ca="1">_xludf.IFNA(TRANSPOSE(OFFSET($B$3,1,MATCH('Inventory List'!$C91,$B$3:$E$3,0)-1,100,1)),"")</f>
        <v>#NAME?</v>
      </c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</row>
    <row r="89" spans="1:26" ht="13.2">
      <c r="A89" s="125"/>
      <c r="B89" s="134"/>
      <c r="C89" s="135"/>
      <c r="D89" s="135"/>
      <c r="E89" s="136"/>
      <c r="F89" s="125"/>
      <c r="G89" s="125" t="e">
        <f t="array" aca="1" ref="G89" ca="1">_xludf.IFNA(TRANSPOSE(OFFSET($B$3,1,MATCH('Inventory List'!$C92,$B$3:$E$3,0)-1,100,1)),"")</f>
        <v>#NAME?</v>
      </c>
      <c r="H89" s="125"/>
      <c r="I89" s="125"/>
      <c r="J89" s="125"/>
      <c r="K89" s="125"/>
      <c r="L89" s="125"/>
      <c r="M89" s="125"/>
      <c r="N89" s="125"/>
      <c r="O89" s="125"/>
      <c r="P89" s="125"/>
      <c r="Q89" s="125"/>
      <c r="R89" s="125"/>
      <c r="S89" s="125"/>
      <c r="T89" s="125"/>
      <c r="U89" s="125"/>
      <c r="V89" s="125"/>
      <c r="W89" s="125"/>
      <c r="X89" s="125"/>
      <c r="Y89" s="125"/>
      <c r="Z89" s="125"/>
    </row>
    <row r="90" spans="1:26" ht="13.2">
      <c r="A90" s="125"/>
      <c r="B90" s="134"/>
      <c r="C90" s="135"/>
      <c r="D90" s="135"/>
      <c r="E90" s="136"/>
      <c r="F90" s="125"/>
      <c r="G90" s="125" t="e">
        <f t="array" aca="1" ref="G90" ca="1">_xludf.IFNA(TRANSPOSE(OFFSET($B$3,1,MATCH('Inventory List'!$C93,$B$3:$E$3,0)-1,100,1)),"")</f>
        <v>#NAME?</v>
      </c>
      <c r="H90" s="125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25"/>
      <c r="X90" s="125"/>
      <c r="Y90" s="125"/>
      <c r="Z90" s="125"/>
    </row>
    <row r="91" spans="1:26" ht="13.2">
      <c r="A91" s="125"/>
      <c r="B91" s="134"/>
      <c r="C91" s="135"/>
      <c r="D91" s="135"/>
      <c r="E91" s="136"/>
      <c r="F91" s="125"/>
      <c r="G91" s="125" t="e">
        <f t="array" aca="1" ref="G91" ca="1">_xludf.IFNA(TRANSPOSE(OFFSET($B$3,1,MATCH('Inventory List'!$C94,$B$3:$E$3,0)-1,100,1)),"")</f>
        <v>#NAME?</v>
      </c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</row>
    <row r="92" spans="1:26" ht="13.2">
      <c r="A92" s="125"/>
      <c r="B92" s="134"/>
      <c r="C92" s="135"/>
      <c r="D92" s="135"/>
      <c r="E92" s="136"/>
      <c r="F92" s="125"/>
      <c r="G92" s="125" t="e">
        <f t="array" aca="1" ref="G92" ca="1">_xludf.IFNA(TRANSPOSE(OFFSET($B$3,1,MATCH('Inventory List'!$C95,$B$3:$E$3,0)-1,100,1)),"")</f>
        <v>#NAME?</v>
      </c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</row>
    <row r="93" spans="1:26" ht="13.2">
      <c r="A93" s="125"/>
      <c r="B93" s="134"/>
      <c r="C93" s="135"/>
      <c r="D93" s="135"/>
      <c r="E93" s="136"/>
      <c r="F93" s="125"/>
      <c r="G93" s="125" t="e">
        <f t="array" aca="1" ref="G93" ca="1">_xludf.IFNA(TRANSPOSE(OFFSET($B$3,1,MATCH('Inventory List'!$C96,$B$3:$E$3,0)-1,100,1)),"")</f>
        <v>#NAME?</v>
      </c>
      <c r="H93" s="125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25"/>
      <c r="X93" s="125"/>
      <c r="Y93" s="125"/>
      <c r="Z93" s="125"/>
    </row>
    <row r="94" spans="1:26" ht="13.2">
      <c r="A94" s="125"/>
      <c r="B94" s="134"/>
      <c r="C94" s="135"/>
      <c r="D94" s="135"/>
      <c r="E94" s="136"/>
      <c r="F94" s="125"/>
      <c r="G94" s="125" t="e">
        <f t="array" aca="1" ref="G94" ca="1">_xludf.IFNA(TRANSPOSE(OFFSET($B$3,1,MATCH('Inventory List'!$C97,$B$3:$E$3,0)-1,100,1)),"")</f>
        <v>#NAME?</v>
      </c>
      <c r="H94" s="125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25"/>
      <c r="X94" s="125"/>
      <c r="Y94" s="125"/>
      <c r="Z94" s="125"/>
    </row>
    <row r="95" spans="1:26" ht="13.2">
      <c r="A95" s="125"/>
      <c r="B95" s="134"/>
      <c r="C95" s="135"/>
      <c r="D95" s="135"/>
      <c r="E95" s="136"/>
      <c r="F95" s="125"/>
      <c r="G95" s="125" t="e">
        <f t="array" aca="1" ref="G95" ca="1">_xludf.IFNA(TRANSPOSE(OFFSET($B$3,1,MATCH('Inventory List'!$C98,$B$3:$E$3,0)-1,100,1)),"")</f>
        <v>#NAME?</v>
      </c>
      <c r="H95" s="125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25"/>
      <c r="X95" s="125"/>
      <c r="Y95" s="125"/>
      <c r="Z95" s="125"/>
    </row>
    <row r="96" spans="1:26" ht="13.2">
      <c r="A96" s="125"/>
      <c r="B96" s="134"/>
      <c r="C96" s="135"/>
      <c r="D96" s="135"/>
      <c r="E96" s="136"/>
      <c r="F96" s="125"/>
      <c r="G96" s="125" t="e">
        <f t="array" aca="1" ref="G96" ca="1">_xludf.IFNA(TRANSPOSE(OFFSET($B$3,1,MATCH('Inventory List'!$C99,$B$3:$E$3,0)-1,100,1)),"")</f>
        <v>#NAME?</v>
      </c>
      <c r="H96" s="125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25"/>
      <c r="X96" s="125"/>
      <c r="Y96" s="125"/>
      <c r="Z96" s="125"/>
    </row>
    <row r="97" spans="1:26" ht="13.2">
      <c r="A97" s="125"/>
      <c r="B97" s="134"/>
      <c r="C97" s="135"/>
      <c r="D97" s="135"/>
      <c r="E97" s="136"/>
      <c r="F97" s="125"/>
      <c r="G97" s="125" t="e">
        <f t="array" aca="1" ref="G97" ca="1">_xludf.IFNA(TRANSPOSE(OFFSET($B$3,1,MATCH('Inventory List'!$C100,$B$3:$E$3,0)-1,100,1)),"")</f>
        <v>#NAME?</v>
      </c>
      <c r="H97" s="125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25"/>
      <c r="X97" s="125"/>
      <c r="Y97" s="125"/>
      <c r="Z97" s="125"/>
    </row>
    <row r="98" spans="1:26" ht="13.2">
      <c r="A98" s="125"/>
      <c r="B98" s="134"/>
      <c r="C98" s="135"/>
      <c r="D98" s="135"/>
      <c r="E98" s="136"/>
      <c r="F98" s="125"/>
      <c r="G98" s="125" t="e">
        <f t="array" aca="1" ref="G98" ca="1">_xludf.IFNA(TRANSPOSE(OFFSET($B$3,1,MATCH('Inventory List'!$C101,$B$3:$E$3,0)-1,100,1)),"")</f>
        <v>#NAME?</v>
      </c>
      <c r="H98" s="125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25"/>
      <c r="X98" s="125"/>
      <c r="Y98" s="125"/>
      <c r="Z98" s="125"/>
    </row>
    <row r="99" spans="1:26" ht="13.2">
      <c r="A99" s="125"/>
      <c r="B99" s="134"/>
      <c r="C99" s="135"/>
      <c r="D99" s="135"/>
      <c r="E99" s="136"/>
      <c r="F99" s="125"/>
      <c r="G99" s="125" t="e">
        <f t="array" aca="1" ref="G99" ca="1">_xludf.IFNA(TRANSPOSE(OFFSET($B$3,1,MATCH('Inventory List'!$C102,$B$3:$E$3,0)-1,100,1)),"")</f>
        <v>#NAME?</v>
      </c>
      <c r="H99" s="125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25"/>
      <c r="X99" s="125"/>
      <c r="Y99" s="125"/>
      <c r="Z99" s="125"/>
    </row>
    <row r="100" spans="1:26" ht="13.2">
      <c r="A100" s="125"/>
      <c r="B100" s="134"/>
      <c r="C100" s="135"/>
      <c r="D100" s="135"/>
      <c r="E100" s="136"/>
      <c r="F100" s="125"/>
      <c r="G100" s="125" t="e">
        <f t="array" aca="1" ref="G100" ca="1">_xludf.IFNA(TRANSPOSE(OFFSET($B$3,1,MATCH('Inventory List'!$C103,$B$3:$E$3,0)-1,100,1)),"")</f>
        <v>#NAME?</v>
      </c>
      <c r="H100" s="125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</row>
    <row r="101" spans="1:26" ht="13.2">
      <c r="A101" s="125"/>
      <c r="B101" s="134"/>
      <c r="C101" s="135"/>
      <c r="D101" s="135"/>
      <c r="E101" s="136"/>
      <c r="F101" s="125"/>
      <c r="G101" s="125" t="e">
        <f t="array" aca="1" ref="G101" ca="1">_xludf.IFNA(TRANSPOSE(OFFSET($B$3,1,MATCH('Inventory List'!$C104,$B$3:$E$3,0)-1,100,1)),"")</f>
        <v>#NAME?</v>
      </c>
      <c r="H101" s="125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25"/>
      <c r="X101" s="125"/>
      <c r="Y101" s="125"/>
      <c r="Z101" s="125"/>
    </row>
    <row r="102" spans="1:26" ht="13.2">
      <c r="A102" s="125"/>
      <c r="B102" s="134"/>
      <c r="C102" s="135"/>
      <c r="D102" s="135"/>
      <c r="E102" s="136"/>
      <c r="F102" s="125"/>
      <c r="G102" s="125" t="e">
        <f t="array" aca="1" ref="G102" ca="1">_xludf.IFNA(TRANSPOSE(OFFSET($B$3,1,MATCH('Inventory List'!$C105,$B$3:$E$3,0)-1,100,1)),"")</f>
        <v>#NAME?</v>
      </c>
      <c r="H102" s="125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</row>
    <row r="103" spans="1:26" ht="13.2">
      <c r="A103" s="125"/>
      <c r="B103" s="134"/>
      <c r="C103" s="135"/>
      <c r="D103" s="135"/>
      <c r="E103" s="136"/>
      <c r="F103" s="125"/>
      <c r="G103" s="125" t="e">
        <f t="array" aca="1" ref="G103" ca="1">_xludf.IFNA(TRANSPOSE(OFFSET($B$3,1,MATCH('Inventory List'!$C106,$B$3:$E$3,0)-1,100,1)),"")</f>
        <v>#NAME?</v>
      </c>
      <c r="H103" s="125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25"/>
      <c r="X103" s="125"/>
      <c r="Y103" s="125"/>
      <c r="Z103" s="125"/>
    </row>
    <row r="104" spans="1:26" ht="13.2">
      <c r="A104" s="125"/>
      <c r="B104" s="137"/>
      <c r="C104" s="138"/>
      <c r="D104" s="138"/>
      <c r="E104" s="139"/>
      <c r="F104" s="125"/>
      <c r="G104" s="125" t="e">
        <f t="array" aca="1" ref="G104" ca="1">_xludf.IFNA(TRANSPOSE(OFFSET($B$3,1,MATCH('Inventory List'!$C107,$B$3:$E$3,0)-1,100,1)),"")</f>
        <v>#NAME?</v>
      </c>
      <c r="H104" s="125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</row>
    <row r="105" spans="1:26" ht="13.2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25"/>
      <c r="X105" s="125"/>
      <c r="Y105" s="125"/>
      <c r="Z105" s="125"/>
    </row>
  </sheetData>
  <mergeCells count="1">
    <mergeCell ref="B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X102"/>
  <sheetViews>
    <sheetView topLeftCell="I1" workbookViewId="0">
      <selection activeCell="Q12" sqref="Q12"/>
    </sheetView>
  </sheetViews>
  <sheetFormatPr defaultColWidth="12.5546875" defaultRowHeight="15.75" customHeight="1"/>
  <cols>
    <col min="9" max="9" width="16.88671875" customWidth="1"/>
    <col min="10" max="11" width="12.5546875" hidden="1"/>
    <col min="15" max="15" width="15.6640625" customWidth="1"/>
  </cols>
  <sheetData>
    <row r="2" spans="1:24">
      <c r="A2" s="140" t="s">
        <v>13</v>
      </c>
      <c r="C2" s="140">
        <v>2023</v>
      </c>
      <c r="F2" s="140" t="str">
        <f ca="1">IFERROR(__xludf.DUMMYFUNCTION("UNIQUE(Overview!K19:K119)"),"Vegetables")</f>
        <v>Vegetables</v>
      </c>
      <c r="G2" s="141">
        <f ca="1">SUMIF(Overview!$K$19:$K$119,F2,Overview!$Q$19:$Q$119)</f>
        <v>497.5</v>
      </c>
      <c r="I2" s="140" t="str">
        <f ca="1">IFERROR(__xludf.DUMMYFUNCTION("UNIQUE(Overview!O19:O119)"),"Farm Fresh Co.")</f>
        <v>Farm Fresh Co.</v>
      </c>
      <c r="J2" s="140">
        <f ca="1">IF(I2="","", SUMIF(Overview!$O$19:$O$119,I2,Overview!$M$19:$M$119))</f>
        <v>150</v>
      </c>
      <c r="K2" s="140">
        <f ca="1">IF(I2="","", SUMIF(Overview!$O$19:$O$119,I2,Overview!$N$19:$N$119))</f>
        <v>50</v>
      </c>
      <c r="L2" s="140">
        <f t="shared" ref="L2:L6" ca="1" si="0">IF(I2="","", J2+K2)</f>
        <v>200</v>
      </c>
      <c r="M2" s="141">
        <f ca="1">IF(I2="","", SUMIF(Overview!$O$19:$O$119,I2,Overview!$Q$19:$Q$119))</f>
        <v>225</v>
      </c>
      <c r="O2" s="140" t="str">
        <f t="array" aca="1" ref="O2" ca="1">IFERROR(INDEX($I$2:$I$7, MATCH(LARGE($M$2:$M$7, 1), $M$2:$M$7, 0)),"")</f>
        <v>Butcher's Choice</v>
      </c>
      <c r="P2" s="140" t="str">
        <f ca="1">IFERROR(_xlfn.SINGLE(_xlfn.XLOOKUP($O2,$I$2:$I$7,$L$2:$L$7)),"")</f>
        <v/>
      </c>
      <c r="Q2" s="141" t="str">
        <f ca="1">IFERROR(_xlfn.SINGLE(_xlfn.XLOOKUP($O2,$I$2:$I$7,$M$2:$M$7)),"")</f>
        <v/>
      </c>
      <c r="S2" s="140" t="str">
        <f ca="1">IFERROR(__xludf.DUMMYFUNCTION("SORT(FILTER(Overview!L19:L120,Overview!M19:M120 &lt;= 10), 1, TRUE)"),"Chicken Breast")</f>
        <v>Chicken Breast</v>
      </c>
      <c r="T2" s="140" t="str">
        <f ca="1">IFERROR(_xlfn.XLOOKUP($S2,Overview!$L$19:$L$120,Overview!$M$19:$M$120),"")</f>
        <v/>
      </c>
    </row>
    <row r="3" spans="1:24">
      <c r="A3" s="140" t="s">
        <v>104</v>
      </c>
      <c r="C3" s="140">
        <v>2024</v>
      </c>
      <c r="F3" s="140" t="str">
        <f ca="1">IFERROR(__xludf.DUMMYFUNCTION("""COMPUTED_VALUE"""),"Meat")</f>
        <v>Meat</v>
      </c>
      <c r="G3" s="141">
        <f ca="1">SUMIF(Overview!$K$19:$K$119,F3,Overview!$Q$19:$Q$119)</f>
        <v>867.5</v>
      </c>
      <c r="I3" s="140" t="str">
        <f ca="1">IFERROR(__xludf.DUMMYFUNCTION("""COMPUTED_VALUE"""),"Butcher's Choice")</f>
        <v>Butcher's Choice</v>
      </c>
      <c r="J3" s="140">
        <f ca="1">IF(I3="","", SUMIF(Overview!$O$19:$O$119,I3,Overview!$M$19:$M$119))</f>
        <v>3</v>
      </c>
      <c r="K3" s="140">
        <f ca="1">IF(I3="","", SUMIF(Overview!$O$19:$O$119,I3,Overview!$N$19:$N$119))</f>
        <v>20</v>
      </c>
      <c r="L3" s="140">
        <f t="shared" ca="1" si="0"/>
        <v>23</v>
      </c>
      <c r="M3" s="141">
        <f ca="1">IF(I3="","", SUMIF(Overview!$O$19:$O$119,I3,Overview!$Q$19:$Q$119))</f>
        <v>240</v>
      </c>
      <c r="O3" s="140" t="str">
        <f t="array" aca="1" ref="O3" ca="1">IFERROR(INDEX($I$2:$I$7, MATCH(LARGE($M$2:$M$7, 2), $M$2:$M$7, 0)),"")</f>
        <v>Farm Fresh Co.</v>
      </c>
      <c r="P3" s="140" t="str">
        <f ca="1">IFERROR(_xlfn.SINGLE(_xlfn.XLOOKUP($O3,$I$2:$I$7,$L$2:$L$7)),"")</f>
        <v/>
      </c>
      <c r="Q3" s="141" t="str">
        <f ca="1">IFERROR(_xlfn.SINGLE(_xlfn.XLOOKUP($O3,$I$2:$I$7,$M$2:$M$7)),"")</f>
        <v/>
      </c>
      <c r="S3" s="140" t="str">
        <f ca="1">IFERROR(__xludf.DUMMYFUNCTION("""COMPUTED_VALUE"""),"Chicken Breast")</f>
        <v>Chicken Breast</v>
      </c>
      <c r="T3" s="140" t="str">
        <f ca="1">IFERROR(_xlfn.XLOOKUP($S3,Overview!$L$19:$L$120,Overview!$M$19:$M$120),"")</f>
        <v/>
      </c>
    </row>
    <row r="4" spans="1:24">
      <c r="A4" s="140" t="s">
        <v>105</v>
      </c>
      <c r="C4" s="140">
        <v>2025</v>
      </c>
      <c r="F4" s="140" t="str">
        <f ca="1">IFERROR(__xludf.DUMMYFUNCTION("""COMPUTED_VALUE"""),"Condiments")</f>
        <v>Condiments</v>
      </c>
      <c r="G4" s="141">
        <f ca="1">SUMIF(Overview!$K$19:$K$119,F4,Overview!$Q$19:$Q$119)</f>
        <v>562</v>
      </c>
      <c r="I4" s="140" t="str">
        <f ca="1">IFERROR(__xludf.DUMMYFUNCTION("""COMPUTED_VALUE"""),"Ocean Harvest")</f>
        <v>Ocean Harvest</v>
      </c>
      <c r="J4" s="140">
        <f ca="1">IF(I4="","", SUMIF(Overview!$O$19:$O$119,I4,Overview!$M$19:$M$119))</f>
        <v>30</v>
      </c>
      <c r="K4" s="140">
        <f ca="1">IF(I4="","", SUMIF(Overview!$O$19:$O$119,I4,Overview!$N$19:$N$119))</f>
        <v>15</v>
      </c>
      <c r="L4" s="140">
        <f t="shared" ca="1" si="0"/>
        <v>45</v>
      </c>
      <c r="M4" s="141">
        <f ca="1">IF(I4="","", SUMIF(Overview!$O$19:$O$119,I4,Overview!$Q$19:$Q$119))</f>
        <v>165</v>
      </c>
      <c r="O4" s="140" t="str">
        <f t="array" aca="1" ref="O4" ca="1">IFERROR(INDEX($I$2:$I$7, MATCH(LARGE($M$2:$M$7, 3), $M$2:$M$7, 0)),"")</f>
        <v>Ocean Harvest</v>
      </c>
      <c r="P4" s="140" t="str">
        <f ca="1">IFERROR(_xlfn.SINGLE(_xlfn.XLOOKUP($O4,$I$2:$I$7,$L$2:$L$7)),"")</f>
        <v/>
      </c>
      <c r="Q4" s="141" t="str">
        <f ca="1">IFERROR(_xlfn.SINGLE(_xlfn.XLOOKUP($O4,$I$2:$I$7,$M$2:$M$7)),"")</f>
        <v/>
      </c>
      <c r="S4" s="140" t="str">
        <f ca="1">IFERROR(__xludf.DUMMYFUNCTION("""COMPUTED_VALUE"""),"Shrimp")</f>
        <v>Shrimp</v>
      </c>
      <c r="T4" s="140" t="str">
        <f ca="1">IFERROR(_xlfn.XLOOKUP($S4,Overview!$L$19:$L$120,Overview!$M$19:$M$120),"")</f>
        <v/>
      </c>
    </row>
    <row r="5" spans="1:24">
      <c r="A5" s="140" t="s">
        <v>106</v>
      </c>
      <c r="C5" s="140">
        <v>2026</v>
      </c>
      <c r="F5" s="140" t="str">
        <f ca="1">IFERROR(__xludf.DUMMYFUNCTION("""COMPUTED_VALUE"""),"Dairy")</f>
        <v>Dairy</v>
      </c>
      <c r="G5" s="141">
        <f ca="1">SUMIF(Overview!$K$19:$K$119,F5,Overview!$Q$19:$Q$119)</f>
        <v>397.5</v>
      </c>
      <c r="I5" s="140" t="str">
        <f ca="1">IFERROR(__xludf.DUMMYFUNCTION("""COMPUTED_VALUE"""),"Golden Grains")</f>
        <v>Golden Grains</v>
      </c>
      <c r="J5" s="140">
        <f ca="1">IF(I5="","", SUMIF(Overview!$O$19:$O$119,I5,Overview!$M$19:$M$119))</f>
        <v>100</v>
      </c>
      <c r="K5" s="140">
        <f ca="1">IF(I5="","", SUMIF(Overview!$O$19:$O$119,I5,Overview!$N$19:$N$119))</f>
        <v>30</v>
      </c>
      <c r="L5" s="140">
        <f t="shared" ca="1" si="0"/>
        <v>130</v>
      </c>
      <c r="M5" s="141">
        <f ca="1">IF(I5="","", SUMIF(Overview!$O$19:$O$119,I5,Overview!$Q$19:$Q$119))</f>
        <v>120</v>
      </c>
      <c r="O5" s="140" t="str">
        <f t="array" aca="1" ref="O5" ca="1">IFERROR(INDEX($I$2:$I$7, MATCH(LARGE($M$2:$M$7, 4), $M$2:$M$7, 0)),"")</f>
        <v>Mediterranean Co.</v>
      </c>
      <c r="P5" s="140" t="str">
        <f ca="1">IFERROR(_xlfn.SINGLE(_xlfn.XLOOKUP($O5,$I$2:$I$7,$L$2:$L$7)),"")</f>
        <v/>
      </c>
      <c r="Q5" s="141" t="str">
        <f ca="1">IFERROR(_xlfn.SINGLE(_xlfn.XLOOKUP($O5,$I$2:$I$7,$M$2:$M$7)),"")</f>
        <v/>
      </c>
      <c r="S5" s="140"/>
      <c r="T5" s="140" t="str">
        <f t="array" aca="1" ref="T5" ca="1">IFERROR(XLOOKUP($S5,Overview!$L$19:$L$120,Overview!$M$19:$M$120),"")</f>
        <v/>
      </c>
    </row>
    <row r="6" spans="1:24">
      <c r="A6" s="140" t="s">
        <v>107</v>
      </c>
      <c r="C6" s="140">
        <v>2027</v>
      </c>
      <c r="F6" s="140"/>
      <c r="I6" s="140" t="str">
        <f ca="1">IFERROR(__xludf.DUMMYFUNCTION("""COMPUTED_VALUE"""),"Mediterranean Co.")</f>
        <v>Mediterranean Co.</v>
      </c>
      <c r="J6" s="140">
        <f ca="1">IF(I6="","", SUMIF(Overview!$O$19:$O$119,I6,Overview!$M$19:$M$119))</f>
        <v>5</v>
      </c>
      <c r="K6" s="140">
        <f ca="1">IF(I6="","", SUMIF(Overview!$O$19:$O$119,I6,Overview!$N$19:$N$119))</f>
        <v>10</v>
      </c>
      <c r="L6" s="140">
        <f t="shared" ca="1" si="0"/>
        <v>15</v>
      </c>
      <c r="M6" s="141">
        <f ca="1">IF(I6="","", SUMIF(Overview!$O$19:$O$119,I6,Overview!$Q$19:$Q$119))</f>
        <v>160</v>
      </c>
      <c r="O6" s="140" t="str">
        <f t="array" aca="1" ref="O6" ca="1">IFERROR(INDEX($I$2:$I$7, MATCH(LARGE($M$2:$M$7, 5), $M$2:$M$7, 0)),"")</f>
        <v>Golden Grains</v>
      </c>
      <c r="P6" s="140" t="str">
        <f ca="1">IFERROR(_xlfn.SINGLE(_xlfn.XLOOKUP($O6,$I$2:$I$7,$L$2:$L$7)),"")</f>
        <v/>
      </c>
      <c r="Q6" s="141" t="str">
        <f ca="1">IFERROR(_xlfn.SINGLE(_xlfn.XLOOKUP($O6,$I$2:$I$7,$M$2:$M$7)),"")</f>
        <v/>
      </c>
      <c r="S6" s="140"/>
      <c r="T6" s="140" t="str">
        <f t="array" aca="1" ref="T6" ca="1">IFERROR(XLOOKUP($S6,Overview!$L$19:$L$120,Overview!$M$19:$M$120),"")</f>
        <v/>
      </c>
    </row>
    <row r="7" spans="1:24">
      <c r="A7" s="140" t="s">
        <v>108</v>
      </c>
      <c r="C7" s="140">
        <v>2028</v>
      </c>
      <c r="I7" s="140" t="str">
        <f ca="1">IFERROR(__xludf.DUMMYFUNCTION("""COMPUTED_VALUE"""),"Orchard Organics")</f>
        <v>Orchard Organics</v>
      </c>
      <c r="M7" s="141"/>
      <c r="Q7" s="141"/>
      <c r="S7" s="140"/>
    </row>
    <row r="8" spans="1:24">
      <c r="A8" s="140" t="s">
        <v>109</v>
      </c>
      <c r="C8" s="140">
        <v>2029</v>
      </c>
      <c r="I8" s="140" t="str">
        <f ca="1">IFERROR(__xludf.DUMMYFUNCTION("""COMPUTED_VALUE"""),"Baker's Supply")</f>
        <v>Baker's Supply</v>
      </c>
      <c r="J8" s="140">
        <f ca="1">IF(I8="","", SUMIF(Overview!$O$19:$O$119,I8,Overview!$M$19:$M$119))</f>
        <v>60</v>
      </c>
      <c r="K8" s="140">
        <f ca="1">IF(I8="","", SUMIF(Overview!$O$19:$O$119,I8,Overview!$N$19:$N$119))</f>
        <v>25</v>
      </c>
      <c r="L8" s="140">
        <f t="shared" ref="L8:L102" ca="1" si="1">IF(I8="","", J8+K8)</f>
        <v>85</v>
      </c>
      <c r="M8" s="141">
        <f ca="1">IF(I8="","", SUMIF(Overview!$O$19:$O$119,I8,Overview!$Q$19:$Q$119))</f>
        <v>108</v>
      </c>
      <c r="O8" s="140" t="str">
        <f t="array" aca="1" ref="O8" ca="1">IFERROR(INDEX($I$2:$I$7, MATCH(LARGE($M$2:$M$7, 6), $M$2:$M$7, 0)),"")</f>
        <v/>
      </c>
      <c r="S8" s="140"/>
      <c r="U8" s="140" t="s">
        <v>110</v>
      </c>
      <c r="V8" s="140" t="s">
        <v>111</v>
      </c>
      <c r="W8" s="140" t="s">
        <v>110</v>
      </c>
      <c r="X8" s="140" t="s">
        <v>112</v>
      </c>
    </row>
    <row r="9" spans="1:24">
      <c r="A9" s="140" t="s">
        <v>113</v>
      </c>
      <c r="C9" s="140">
        <v>2030</v>
      </c>
      <c r="I9" s="140" t="str">
        <f ca="1">IFERROR(__xludf.DUMMYFUNCTION("""COMPUTED_VALUE"""),"Local Farms")</f>
        <v>Local Farms</v>
      </c>
      <c r="J9" s="140">
        <f ca="1">IF(I9="","", SUMIF(Overview!$O$19:$O$119,I9,Overview!$M$19:$M$119))</f>
        <v>120</v>
      </c>
      <c r="K9" s="140">
        <f ca="1">IF(I9="","", SUMIF(Overview!$O$19:$O$119,I9,Overview!$N$19:$N$119))</f>
        <v>40</v>
      </c>
      <c r="L9" s="140">
        <f t="shared" ca="1" si="1"/>
        <v>160</v>
      </c>
      <c r="M9" s="141">
        <f ca="1">IF(I9="","", SUMIF(Overview!$O$19:$O$119,I9,Overview!$Q$19:$Q$119))</f>
        <v>30</v>
      </c>
      <c r="S9" s="140"/>
      <c r="U9" s="140" t="str">
        <f>Setup!B3</f>
        <v>Vegetables</v>
      </c>
      <c r="V9" s="140">
        <f>SUMIF(Overview!$K$19:$K$119, U9,Overview!$M$19:$M$119)</f>
        <v>465</v>
      </c>
      <c r="W9" s="140" t="s">
        <v>34</v>
      </c>
      <c r="X9" s="141">
        <f>SUMIF(Overview!$K$19:$K$119, U9,Overview!$Q$19:$Q$119)</f>
        <v>497.5</v>
      </c>
    </row>
    <row r="10" spans="1:24">
      <c r="A10" s="140" t="s">
        <v>114</v>
      </c>
      <c r="C10" s="140">
        <v>2031</v>
      </c>
      <c r="I10" s="140" t="str">
        <f ca="1">IFERROR(__xludf.DUMMYFUNCTION("""COMPUTED_VALUE"""),"Can-O-Taste Inc.")</f>
        <v>Can-O-Taste Inc.</v>
      </c>
      <c r="J10" s="140">
        <f ca="1">IF(I10="","", SUMIF(Overview!$O$19:$O$119,I10,Overview!$M$19:$M$119))</f>
        <v>100</v>
      </c>
      <c r="K10" s="140">
        <f ca="1">IF(I10="","", SUMIF(Overview!$O$19:$O$119,I10,Overview!$N$19:$N$119))</f>
        <v>30</v>
      </c>
      <c r="L10" s="140">
        <f t="shared" ca="1" si="1"/>
        <v>130</v>
      </c>
      <c r="M10" s="141">
        <f ca="1">IF(I10="","", SUMIF(Overview!$O$19:$O$119,I10,Overview!$Q$19:$Q$119))</f>
        <v>208</v>
      </c>
      <c r="S10" s="140"/>
      <c r="U10" s="140" t="str">
        <f>Setup!C3</f>
        <v>Meat</v>
      </c>
      <c r="V10" s="140">
        <f>SUMIF(Overview!$K$19:$K$119, U10,Overview!$M$19:$M$119)</f>
        <v>95</v>
      </c>
      <c r="W10" s="140" t="s">
        <v>38</v>
      </c>
      <c r="X10" s="141">
        <f>SUMIF(Overview!$K$19:$K$119, U10,Overview!$Q$19:$Q$119)</f>
        <v>867.5</v>
      </c>
    </row>
    <row r="11" spans="1:24">
      <c r="A11" s="140" t="s">
        <v>115</v>
      </c>
      <c r="C11" s="140">
        <v>2032</v>
      </c>
      <c r="I11" s="140" t="str">
        <f ca="1">IFERROR(__xludf.DUMMYFUNCTION("""COMPUTED_VALUE"""),"RefreshCo")</f>
        <v>RefreshCo</v>
      </c>
      <c r="J11" s="140">
        <f ca="1">IF(I11="","", SUMIF(Overview!$O$19:$O$119,I11,Overview!$M$19:$M$119))</f>
        <v>80</v>
      </c>
      <c r="K11" s="140">
        <f ca="1">IF(I11="","", SUMIF(Overview!$O$19:$O$119,I11,Overview!$N$19:$N$119))</f>
        <v>20</v>
      </c>
      <c r="L11" s="140">
        <f t="shared" ca="1" si="1"/>
        <v>100</v>
      </c>
      <c r="M11" s="141">
        <f ca="1">IF(I11="","", SUMIF(Overview!$O$19:$O$119,I11,Overview!$Q$19:$Q$119))</f>
        <v>80</v>
      </c>
      <c r="S11" s="140"/>
      <c r="U11" s="140" t="str">
        <f>Setup!D3</f>
        <v>Dairy</v>
      </c>
      <c r="V11" s="140">
        <f>SUMIF(Overview!$K$19:$K$119, U11,Overview!$M$19:$M$119)</f>
        <v>180</v>
      </c>
      <c r="W11" s="140" t="s">
        <v>42</v>
      </c>
      <c r="X11" s="141">
        <f>SUMIF(Overview!$K$19:$K$119, U11,Overview!$Q$19:$Q$119)</f>
        <v>397.5</v>
      </c>
    </row>
    <row r="12" spans="1:24">
      <c r="A12" s="140" t="s">
        <v>116</v>
      </c>
      <c r="C12" s="140">
        <v>2033</v>
      </c>
      <c r="I12" s="140" t="str">
        <f ca="1">IFERROR(__xludf.DUMMYFUNCTION("""COMPUTED_VALUE"""),"Artisan Bakes")</f>
        <v>Artisan Bakes</v>
      </c>
      <c r="J12" s="140">
        <f ca="1">IF(I12="","", SUMIF(Overview!$O$19:$O$119,I12,Overview!$M$19:$M$119))</f>
        <v>30</v>
      </c>
      <c r="K12" s="140">
        <f ca="1">IF(I12="","", SUMIF(Overview!$O$19:$O$119,I12,Overview!$N$19:$N$119))</f>
        <v>10</v>
      </c>
      <c r="L12" s="140">
        <f t="shared" ca="1" si="1"/>
        <v>40</v>
      </c>
      <c r="M12" s="141">
        <f ca="1">IF(I12="","", SUMIF(Overview!$O$19:$O$119,I12,Overview!$Q$19:$Q$119))</f>
        <v>66</v>
      </c>
      <c r="S12" s="140"/>
      <c r="U12" s="140" t="str">
        <f>Setup!E3</f>
        <v>Condiments</v>
      </c>
      <c r="V12" s="140">
        <f>SUMIF(Overview!$K$19:$K$119, U12,Overview!$M$19:$M$119)</f>
        <v>230</v>
      </c>
      <c r="W12" s="140" t="s">
        <v>46</v>
      </c>
      <c r="X12" s="141">
        <f>SUMIF(Overview!$K$19:$K$119, U12,Overview!$Q$19:$Q$119)</f>
        <v>562</v>
      </c>
    </row>
    <row r="13" spans="1:24">
      <c r="A13" s="140" t="s">
        <v>15</v>
      </c>
      <c r="C13" s="140">
        <v>2034</v>
      </c>
      <c r="I13" s="140" t="str">
        <f ca="1">IFERROR(__xludf.DUMMYFUNCTION("""COMPUTED_VALUE"""),"Creamy Delights")</f>
        <v>Creamy Delights</v>
      </c>
      <c r="J13" s="140">
        <f ca="1">IF(I13="","", SUMIF(Overview!$O$19:$O$119,I13,Overview!$M$19:$M$119))</f>
        <v>25</v>
      </c>
      <c r="K13" s="140">
        <f ca="1">IF(I13="","", SUMIF(Overview!$O$19:$O$119,I13,Overview!$N$19:$N$119))</f>
        <v>10</v>
      </c>
      <c r="L13" s="140">
        <f t="shared" ca="1" si="1"/>
        <v>35</v>
      </c>
      <c r="M13" s="141">
        <f ca="1">IF(I13="","", SUMIF(Overview!$O$19:$O$119,I13,Overview!$Q$19:$Q$119))</f>
        <v>87.5</v>
      </c>
      <c r="S13" s="140"/>
    </row>
    <row r="14" spans="1:24">
      <c r="C14" s="140">
        <v>2035</v>
      </c>
      <c r="I14" s="140" t="str">
        <f ca="1">IFERROR(__xludf.DUMMYFUNCTION("""COMPUTED_VALUE"""),"Seafood Express")</f>
        <v>Seafood Express</v>
      </c>
      <c r="J14" s="140">
        <f ca="1">IF(I14="","", SUMIF(Overview!$O$19:$O$119,I14,Overview!$M$19:$M$119))</f>
        <v>40</v>
      </c>
      <c r="K14" s="140">
        <f ca="1">IF(I14="","", SUMIF(Overview!$O$19:$O$119,I14,Overview!$N$19:$N$119))</f>
        <v>15</v>
      </c>
      <c r="L14" s="140">
        <f t="shared" ca="1" si="1"/>
        <v>55</v>
      </c>
      <c r="M14" s="141">
        <f ca="1">IF(I14="","", SUMIF(Overview!$O$19:$O$119,I14,Overview!$Q$19:$Q$119))</f>
        <v>280</v>
      </c>
      <c r="S14" s="140"/>
    </row>
    <row r="15" spans="1:24">
      <c r="C15" s="140">
        <v>2036</v>
      </c>
      <c r="I15" s="140" t="str">
        <f ca="1">IFERROR(__xludf.DUMMYFUNCTION("""COMPUTED_VALUE"""),"Grain Harvest")</f>
        <v>Grain Harvest</v>
      </c>
      <c r="J15" s="140">
        <f ca="1">IF(I15="","", SUMIF(Overview!$O$19:$O$119,I15,Overview!$M$19:$M$119))</f>
        <v>15</v>
      </c>
      <c r="K15" s="140">
        <f ca="1">IF(I15="","", SUMIF(Overview!$O$19:$O$119,I15,Overview!$N$19:$N$119))</f>
        <v>5</v>
      </c>
      <c r="L15" s="140">
        <f t="shared" ca="1" si="1"/>
        <v>20</v>
      </c>
      <c r="M15" s="141">
        <f ca="1">IF(I15="","", SUMIF(Overview!$O$19:$O$119,I15,Overview!$Q$19:$Q$119))</f>
        <v>60</v>
      </c>
      <c r="S15" s="140"/>
    </row>
    <row r="16" spans="1:24">
      <c r="C16" s="140">
        <v>2037</v>
      </c>
      <c r="I16" s="140" t="str">
        <f ca="1">IFERROR(__xludf.DUMMYFUNCTION("""COMPUTED_VALUE"""),"Asian Flavors")</f>
        <v>Asian Flavors</v>
      </c>
      <c r="J16" s="140">
        <f ca="1">IF(I16="","", SUMIF(Overview!$O$19:$O$119,I16,Overview!$M$19:$M$119))</f>
        <v>50</v>
      </c>
      <c r="K16" s="140">
        <f ca="1">IF(I16="","", SUMIF(Overview!$O$19:$O$119,I16,Overview!$N$19:$N$119))</f>
        <v>15</v>
      </c>
      <c r="L16" s="140">
        <f t="shared" ca="1" si="1"/>
        <v>65</v>
      </c>
      <c r="M16" s="141">
        <f ca="1">IF(I16="","", SUMIF(Overview!$O$19:$O$119,I16,Overview!$Q$19:$Q$119))</f>
        <v>115</v>
      </c>
      <c r="S16" s="140"/>
    </row>
    <row r="17" spans="3:19">
      <c r="C17" s="140">
        <v>2038</v>
      </c>
      <c r="I17" s="140" t="str">
        <f ca="1">IFERROR(__xludf.DUMMYFUNCTION("""COMPUTED_VALUE"""),"Tropical Farms")</f>
        <v>Tropical Farms</v>
      </c>
      <c r="J17" s="140">
        <f ca="1">IF(I17="","", SUMIF(Overview!$O$19:$O$119,I17,Overview!$M$19:$M$119))</f>
        <v>70</v>
      </c>
      <c r="K17" s="140">
        <f ca="1">IF(I17="","", SUMIF(Overview!$O$19:$O$119,I17,Overview!$N$19:$N$119))</f>
        <v>25</v>
      </c>
      <c r="L17" s="140">
        <f t="shared" ca="1" si="1"/>
        <v>95</v>
      </c>
      <c r="M17" s="141">
        <f ca="1">IF(I17="","", SUMIF(Overview!$O$19:$O$119,I17,Overview!$Q$19:$Q$119))</f>
        <v>35</v>
      </c>
      <c r="S17" s="140"/>
    </row>
    <row r="18" spans="3:19">
      <c r="C18" s="140">
        <v>2039</v>
      </c>
      <c r="I18" s="140" t="str">
        <f ca="1">IFERROR(__xludf.DUMMYFUNCTION("""COMPUTED_VALUE"""),"Sweet Delights")</f>
        <v>Sweet Delights</v>
      </c>
      <c r="J18" s="140">
        <f ca="1">IF(I18="","", SUMIF(Overview!$O$19:$O$119,I18,Overview!$M$19:$M$119))</f>
        <v>7</v>
      </c>
      <c r="K18" s="140">
        <f ca="1">IF(I18="","", SUMIF(Overview!$O$19:$O$119,I18,Overview!$N$19:$N$119))</f>
        <v>10</v>
      </c>
      <c r="L18" s="140">
        <f t="shared" ca="1" si="1"/>
        <v>17</v>
      </c>
      <c r="M18" s="141">
        <f ca="1">IF(I18="","", SUMIF(Overview!$O$19:$O$119,I18,Overview!$Q$19:$Q$119))</f>
        <v>87.5</v>
      </c>
      <c r="S18" s="140"/>
    </row>
    <row r="19" spans="3:19">
      <c r="C19" s="140">
        <v>2040</v>
      </c>
      <c r="I19" s="140" t="str">
        <f ca="1">IFERROR(__xludf.DUMMYFUNCTION("""COMPUTED_VALUE"""),"Poultry Haven")</f>
        <v>Poultry Haven</v>
      </c>
      <c r="J19" s="140">
        <f ca="1">IF(I19="","", SUMIF(Overview!$O$19:$O$119,I19,Overview!$M$19:$M$119))</f>
        <v>35</v>
      </c>
      <c r="K19" s="140">
        <f ca="1">IF(I19="","", SUMIF(Overview!$O$19:$O$119,I19,Overview!$N$19:$N$119))</f>
        <v>10</v>
      </c>
      <c r="L19" s="140">
        <f t="shared" ca="1" si="1"/>
        <v>45</v>
      </c>
      <c r="M19" s="141">
        <f ca="1">IF(I19="","", SUMIF(Overview!$O$19:$O$119,I19,Overview!$Q$19:$Q$119))</f>
        <v>157.5</v>
      </c>
      <c r="S19" s="140"/>
    </row>
    <row r="20" spans="3:19">
      <c r="I20" s="140"/>
      <c r="J20" s="140" t="str">
        <f>IF(I20="","", SUMIF(Overview!$O$19:$O$119,I20,Overview!$M$19:$M$119))</f>
        <v/>
      </c>
      <c r="K20" s="140" t="str">
        <f>IF(I20="","", SUMIF(Overview!$O$19:$O$119,I20,Overview!$N$19:$N$119))</f>
        <v/>
      </c>
      <c r="L20" s="140" t="str">
        <f t="shared" si="1"/>
        <v/>
      </c>
      <c r="M20" s="141" t="str">
        <f>IF(I20="","", SUMIF(Overview!$O$19:$O$119,I20,Overview!$Q$19:$Q$119))</f>
        <v/>
      </c>
      <c r="S20" s="140"/>
    </row>
    <row r="21" spans="3:19">
      <c r="J21" s="140" t="str">
        <f>IF(I21="","", SUMIF(Overview!$O$19:$O$119,I21,Overview!$M$19:$M$119))</f>
        <v/>
      </c>
      <c r="K21" s="140" t="str">
        <f>IF(I21="","", SUMIF(Overview!$O$19:$O$119,I21,Overview!$N$19:$N$119))</f>
        <v/>
      </c>
      <c r="L21" s="140" t="str">
        <f t="shared" si="1"/>
        <v/>
      </c>
      <c r="M21" s="141" t="str">
        <f>IF(I21="","", SUMIF(Overview!$O$19:$O$119,I21,Overview!$Q$19:$Q$119))</f>
        <v/>
      </c>
      <c r="S21" s="140"/>
    </row>
    <row r="22" spans="3:19">
      <c r="J22" s="140" t="str">
        <f>IF(I22="","", SUMIF(Overview!$O$19:$O$119,I22,Overview!$M$19:$M$119))</f>
        <v/>
      </c>
      <c r="K22" s="140" t="str">
        <f>IF(I22="","", SUMIF(Overview!$O$19:$O$119,I22,Overview!$N$19:$N$119))</f>
        <v/>
      </c>
      <c r="L22" s="140" t="str">
        <f t="shared" si="1"/>
        <v/>
      </c>
      <c r="M22" s="141" t="str">
        <f>IF(I22="","", SUMIF(Overview!$O$19:$O$119,I22,Overview!$Q$19:$Q$119))</f>
        <v/>
      </c>
      <c r="S22" s="140"/>
    </row>
    <row r="23" spans="3:19">
      <c r="J23" s="140" t="str">
        <f>IF(I23="","", SUMIF(Overview!$O$19:$O$119,I23,Overview!$M$19:$M$119))</f>
        <v/>
      </c>
      <c r="K23" s="140" t="str">
        <f>IF(I23="","", SUMIF(Overview!$O$19:$O$119,I23,Overview!$N$19:$N$119))</f>
        <v/>
      </c>
      <c r="L23" s="140" t="str">
        <f t="shared" si="1"/>
        <v/>
      </c>
      <c r="M23" s="141" t="str">
        <f>IF(I23="","", SUMIF(Overview!$O$19:$O$119,I23,Overview!$Q$19:$Q$119))</f>
        <v/>
      </c>
      <c r="S23" s="140"/>
    </row>
    <row r="24" spans="3:19">
      <c r="J24" s="140" t="str">
        <f>IF(I24="","", SUMIF(Overview!$O$19:$O$119,I24,Overview!$M$19:$M$119))</f>
        <v/>
      </c>
      <c r="K24" s="140" t="str">
        <f>IF(I24="","", SUMIF(Overview!$O$19:$O$119,I24,Overview!$N$19:$N$119))</f>
        <v/>
      </c>
      <c r="L24" s="140" t="str">
        <f t="shared" si="1"/>
        <v/>
      </c>
      <c r="M24" s="141" t="str">
        <f>IF(I24="","", SUMIF(Overview!$O$19:$O$119,I24,Overview!$Q$19:$Q$119))</f>
        <v/>
      </c>
      <c r="S24" s="140"/>
    </row>
    <row r="25" spans="3:19">
      <c r="J25" s="140" t="str">
        <f>IF(I25="","", SUMIF(Overview!$O$19:$O$119,I25,Overview!$M$19:$M$119))</f>
        <v/>
      </c>
      <c r="K25" s="140" t="str">
        <f>IF(I25="","", SUMIF(Overview!$O$19:$O$119,I25,Overview!$N$19:$N$119))</f>
        <v/>
      </c>
      <c r="L25" s="140" t="str">
        <f t="shared" si="1"/>
        <v/>
      </c>
      <c r="M25" s="141" t="str">
        <f>IF(I25="","", SUMIF(Overview!$O$19:$O$119,I25,Overview!$Q$19:$Q$119))</f>
        <v/>
      </c>
      <c r="S25" s="140"/>
    </row>
    <row r="26" spans="3:19">
      <c r="J26" s="140" t="str">
        <f>IF(I26="","", SUMIF(Overview!$O$19:$O$119,I26,Overview!$M$19:$M$119))</f>
        <v/>
      </c>
      <c r="K26" s="140" t="str">
        <f>IF(I26="","", SUMIF(Overview!$O$19:$O$119,I26,Overview!$N$19:$N$119))</f>
        <v/>
      </c>
      <c r="L26" s="140" t="str">
        <f t="shared" si="1"/>
        <v/>
      </c>
      <c r="M26" s="141" t="str">
        <f>IF(I26="","", SUMIF(Overview!$O$19:$O$119,I26,Overview!$Q$19:$Q$119))</f>
        <v/>
      </c>
      <c r="S26" s="140"/>
    </row>
    <row r="27" spans="3:19">
      <c r="J27" s="140" t="str">
        <f>IF(I27="","", SUMIF(Overview!$O$19:$O$119,I27,Overview!$M$19:$M$119))</f>
        <v/>
      </c>
      <c r="K27" s="140" t="str">
        <f>IF(I27="","", SUMIF(Overview!$O$19:$O$119,I27,Overview!$N$19:$N$119))</f>
        <v/>
      </c>
      <c r="L27" s="140" t="str">
        <f t="shared" si="1"/>
        <v/>
      </c>
      <c r="M27" s="141" t="str">
        <f>IF(I27="","", SUMIF(Overview!$O$19:$O$119,I27,Overview!$Q$19:$Q$119))</f>
        <v/>
      </c>
      <c r="S27" s="140"/>
    </row>
    <row r="28" spans="3:19">
      <c r="J28" s="140" t="str">
        <f>IF(I28="","", SUMIF(Overview!$O$19:$O$119,I28,Overview!$M$19:$M$119))</f>
        <v/>
      </c>
      <c r="K28" s="140" t="str">
        <f>IF(I28="","", SUMIF(Overview!$O$19:$O$119,I28,Overview!$N$19:$N$119))</f>
        <v/>
      </c>
      <c r="L28" s="140" t="str">
        <f t="shared" si="1"/>
        <v/>
      </c>
      <c r="M28" s="141" t="str">
        <f>IF(I28="","", SUMIF(Overview!$O$19:$O$119,I28,Overview!$Q$19:$Q$119))</f>
        <v/>
      </c>
      <c r="S28" s="140"/>
    </row>
    <row r="29" spans="3:19">
      <c r="J29" s="140" t="str">
        <f>IF(I29="","", SUMIF(Overview!$O$19:$O$119,I29,Overview!$M$19:$M$119))</f>
        <v/>
      </c>
      <c r="K29" s="140" t="str">
        <f>IF(I29="","", SUMIF(Overview!$O$19:$O$119,I29,Overview!$N$19:$N$119))</f>
        <v/>
      </c>
      <c r="L29" s="140" t="str">
        <f t="shared" si="1"/>
        <v/>
      </c>
      <c r="M29" s="141" t="str">
        <f>IF(I29="","", SUMIF(Overview!$O$19:$O$119,I29,Overview!$Q$19:$Q$119))</f>
        <v/>
      </c>
      <c r="S29" s="140"/>
    </row>
    <row r="30" spans="3:19">
      <c r="J30" s="140" t="str">
        <f>IF(I30="","", SUMIF(Overview!$O$19:$O$119,I30,Overview!$M$19:$M$119))</f>
        <v/>
      </c>
      <c r="K30" s="140" t="str">
        <f>IF(I30="","", SUMIF(Overview!$O$19:$O$119,I30,Overview!$N$19:$N$119))</f>
        <v/>
      </c>
      <c r="L30" s="140" t="str">
        <f t="shared" si="1"/>
        <v/>
      </c>
      <c r="M30" s="141" t="str">
        <f>IF(I30="","", SUMIF(Overview!$O$19:$O$119,I30,Overview!$Q$19:$Q$119))</f>
        <v/>
      </c>
      <c r="S30" s="140"/>
    </row>
    <row r="31" spans="3:19">
      <c r="J31" s="140" t="str">
        <f>IF(I31="","", SUMIF(Overview!$O$19:$O$119,I31,Overview!$M$19:$M$119))</f>
        <v/>
      </c>
      <c r="K31" s="140" t="str">
        <f>IF(I31="","", SUMIF(Overview!$O$19:$O$119,I31,Overview!$N$19:$N$119))</f>
        <v/>
      </c>
      <c r="L31" s="140" t="str">
        <f t="shared" si="1"/>
        <v/>
      </c>
      <c r="M31" s="141" t="str">
        <f>IF(I31="","", SUMIF(Overview!$O$19:$O$119,I31,Overview!$Q$19:$Q$119))</f>
        <v/>
      </c>
      <c r="S31" s="140"/>
    </row>
    <row r="32" spans="3:19">
      <c r="J32" s="140" t="str">
        <f>IF(I32="","", SUMIF(Overview!$O$19:$O$119,I32,Overview!$M$19:$M$119))</f>
        <v/>
      </c>
      <c r="K32" s="140" t="str">
        <f>IF(I32="","", SUMIF(Overview!$O$19:$O$119,I32,Overview!$N$19:$N$119))</f>
        <v/>
      </c>
      <c r="L32" s="140" t="str">
        <f t="shared" si="1"/>
        <v/>
      </c>
      <c r="M32" s="141" t="str">
        <f>IF(I32="","", SUMIF(Overview!$O$19:$O$119,I32,Overview!$Q$19:$Q$119))</f>
        <v/>
      </c>
      <c r="S32" s="140"/>
    </row>
    <row r="33" spans="10:19">
      <c r="J33" s="140" t="str">
        <f>IF(I33="","", SUMIF(Overview!$O$19:$O$119,I33,Overview!$M$19:$M$119))</f>
        <v/>
      </c>
      <c r="K33" s="140" t="str">
        <f>IF(I33="","", SUMIF(Overview!$O$19:$O$119,I33,Overview!$N$19:$N$119))</f>
        <v/>
      </c>
      <c r="L33" s="140" t="str">
        <f t="shared" si="1"/>
        <v/>
      </c>
      <c r="M33" s="141" t="str">
        <f>IF(I33="","", SUMIF(Overview!$O$19:$O$119,I33,Overview!$Q$19:$Q$119))</f>
        <v/>
      </c>
      <c r="S33" s="140"/>
    </row>
    <row r="34" spans="10:19">
      <c r="J34" s="140" t="str">
        <f>IF(I34="","", SUMIF(Overview!$O$19:$O$119,I34,Overview!$M$19:$M$119))</f>
        <v/>
      </c>
      <c r="K34" s="140" t="str">
        <f>IF(I34="","", SUMIF(Overview!$O$19:$O$119,I34,Overview!$N$19:$N$119))</f>
        <v/>
      </c>
      <c r="L34" s="140" t="str">
        <f t="shared" si="1"/>
        <v/>
      </c>
      <c r="M34" s="141" t="str">
        <f>IF(I34="","", SUMIF(Overview!$O$19:$O$119,I34,Overview!$Q$19:$Q$119))</f>
        <v/>
      </c>
      <c r="S34" s="140"/>
    </row>
    <row r="35" spans="10:19">
      <c r="J35" s="140" t="str">
        <f>IF(I35="","", SUMIF(Overview!$O$19:$O$119,I35,Overview!$M$19:$M$119))</f>
        <v/>
      </c>
      <c r="K35" s="140" t="str">
        <f>IF(I35="","", SUMIF(Overview!$O$19:$O$119,I35,Overview!$N$19:$N$119))</f>
        <v/>
      </c>
      <c r="L35" s="140" t="str">
        <f t="shared" si="1"/>
        <v/>
      </c>
      <c r="M35" s="141" t="str">
        <f>IF(I35="","", SUMIF(Overview!$O$19:$O$119,I35,Overview!$Q$19:$Q$119))</f>
        <v/>
      </c>
      <c r="S35" s="140"/>
    </row>
    <row r="36" spans="10:19">
      <c r="J36" s="140" t="str">
        <f>IF(I36="","", SUMIF(Overview!$O$19:$O$119,I36,Overview!$M$19:$M$119))</f>
        <v/>
      </c>
      <c r="K36" s="140" t="str">
        <f>IF(I36="","", SUMIF(Overview!$O$19:$O$119,I36,Overview!$N$19:$N$119))</f>
        <v/>
      </c>
      <c r="L36" s="140" t="str">
        <f t="shared" si="1"/>
        <v/>
      </c>
      <c r="M36" s="141" t="str">
        <f>IF(I36="","", SUMIF(Overview!$O$19:$O$119,I36,Overview!$Q$19:$Q$119))</f>
        <v/>
      </c>
      <c r="S36" s="140"/>
    </row>
    <row r="37" spans="10:19">
      <c r="J37" s="140" t="str">
        <f>IF(I37="","", SUMIF(Overview!$O$19:$O$119,I37,Overview!$M$19:$M$119))</f>
        <v/>
      </c>
      <c r="K37" s="140" t="str">
        <f>IF(I37="","", SUMIF(Overview!$O$19:$O$119,I37,Overview!$N$19:$N$119))</f>
        <v/>
      </c>
      <c r="L37" s="140" t="str">
        <f t="shared" si="1"/>
        <v/>
      </c>
      <c r="M37" s="141" t="str">
        <f>IF(I37="","", SUMIF(Overview!$O$19:$O$119,I37,Overview!$Q$19:$Q$119))</f>
        <v/>
      </c>
      <c r="S37" s="140"/>
    </row>
    <row r="38" spans="10:19">
      <c r="J38" s="140" t="str">
        <f>IF(I38="","", SUMIF(Overview!$O$19:$O$119,I38,Overview!$M$19:$M$119))</f>
        <v/>
      </c>
      <c r="K38" s="140" t="str">
        <f>IF(I38="","", SUMIF(Overview!$O$19:$O$119,I38,Overview!$N$19:$N$119))</f>
        <v/>
      </c>
      <c r="L38" s="140" t="str">
        <f t="shared" si="1"/>
        <v/>
      </c>
      <c r="M38" s="141" t="str">
        <f>IF(I38="","", SUMIF(Overview!$O$19:$O$119,I38,Overview!$Q$19:$Q$119))</f>
        <v/>
      </c>
      <c r="S38" s="140"/>
    </row>
    <row r="39" spans="10:19">
      <c r="J39" s="140" t="str">
        <f>IF(I39="","", SUMIF(Overview!$O$19:$O$119,I39,Overview!$M$19:$M$119))</f>
        <v/>
      </c>
      <c r="K39" s="140" t="str">
        <f>IF(I39="","", SUMIF(Overview!$O$19:$O$119,I39,Overview!$N$19:$N$119))</f>
        <v/>
      </c>
      <c r="L39" s="140" t="str">
        <f t="shared" si="1"/>
        <v/>
      </c>
      <c r="M39" s="141" t="str">
        <f>IF(I39="","", SUMIF(Overview!$O$19:$O$119,I39,Overview!$Q$19:$Q$119))</f>
        <v/>
      </c>
      <c r="S39" s="140"/>
    </row>
    <row r="40" spans="10:19">
      <c r="J40" s="140" t="str">
        <f>IF(I40="","", SUMIF(Overview!$O$19:$O$119,I40,Overview!$M$19:$M$119))</f>
        <v/>
      </c>
      <c r="K40" s="140" t="str">
        <f>IF(I40="","", SUMIF(Overview!$O$19:$O$119,I40,Overview!$N$19:$N$119))</f>
        <v/>
      </c>
      <c r="L40" s="140" t="str">
        <f t="shared" si="1"/>
        <v/>
      </c>
      <c r="M40" s="141" t="str">
        <f>IF(I40="","", SUMIF(Overview!$O$19:$O$119,I40,Overview!$Q$19:$Q$119))</f>
        <v/>
      </c>
      <c r="S40" s="140"/>
    </row>
    <row r="41" spans="10:19">
      <c r="J41" s="140" t="str">
        <f>IF(I41="","", SUMIF(Overview!$O$19:$O$119,I41,Overview!$M$19:$M$119))</f>
        <v/>
      </c>
      <c r="K41" s="140" t="str">
        <f>IF(I41="","", SUMIF(Overview!$O$19:$O$119,I41,Overview!$N$19:$N$119))</f>
        <v/>
      </c>
      <c r="L41" s="140" t="str">
        <f t="shared" si="1"/>
        <v/>
      </c>
      <c r="M41" s="141" t="str">
        <f>IF(I41="","", SUMIF(Overview!$O$19:$O$119,I41,Overview!$Q$19:$Q$119))</f>
        <v/>
      </c>
      <c r="S41" s="140"/>
    </row>
    <row r="42" spans="10:19">
      <c r="J42" s="140" t="str">
        <f>IF(I42="","", SUMIF(Overview!$O$19:$O$119,I42,Overview!$M$19:$M$119))</f>
        <v/>
      </c>
      <c r="K42" s="140" t="str">
        <f>IF(I42="","", SUMIF(Overview!$O$19:$O$119,I42,Overview!$N$19:$N$119))</f>
        <v/>
      </c>
      <c r="L42" s="140" t="str">
        <f t="shared" si="1"/>
        <v/>
      </c>
      <c r="M42" s="141" t="str">
        <f>IF(I42="","", SUMIF(Overview!$O$19:$O$119,I42,Overview!$Q$19:$Q$119))</f>
        <v/>
      </c>
      <c r="S42" s="140"/>
    </row>
    <row r="43" spans="10:19">
      <c r="J43" s="140" t="str">
        <f>IF(I43="","", SUMIF(Overview!$O$19:$O$119,I43,Overview!$M$19:$M$119))</f>
        <v/>
      </c>
      <c r="K43" s="140" t="str">
        <f>IF(I43="","", SUMIF(Overview!$O$19:$O$119,I43,Overview!$N$19:$N$119))</f>
        <v/>
      </c>
      <c r="L43" s="140" t="str">
        <f t="shared" si="1"/>
        <v/>
      </c>
      <c r="M43" s="141" t="str">
        <f>IF(I43="","", SUMIF(Overview!$O$19:$O$119,I43,Overview!$Q$19:$Q$119))</f>
        <v/>
      </c>
      <c r="S43" s="140"/>
    </row>
    <row r="44" spans="10:19">
      <c r="J44" s="140" t="str">
        <f>IF(I44="","", SUMIF(Overview!$O$19:$O$119,I44,Overview!$M$19:$M$119))</f>
        <v/>
      </c>
      <c r="K44" s="140" t="str">
        <f>IF(I44="","", SUMIF(Overview!$O$19:$O$119,I44,Overview!$N$19:$N$119))</f>
        <v/>
      </c>
      <c r="L44" s="140" t="str">
        <f t="shared" si="1"/>
        <v/>
      </c>
      <c r="M44" s="141" t="str">
        <f>IF(I44="","", SUMIF(Overview!$O$19:$O$119,I44,Overview!$Q$19:$Q$119))</f>
        <v/>
      </c>
      <c r="S44" s="140"/>
    </row>
    <row r="45" spans="10:19">
      <c r="J45" s="140" t="str">
        <f>IF(I45="","", SUMIF(Overview!$O$19:$O$119,I45,Overview!$M$19:$M$119))</f>
        <v/>
      </c>
      <c r="K45" s="140" t="str">
        <f>IF(I45="","", SUMIF(Overview!$O$19:$O$119,I45,Overview!$N$19:$N$119))</f>
        <v/>
      </c>
      <c r="L45" s="140" t="str">
        <f t="shared" si="1"/>
        <v/>
      </c>
      <c r="M45" s="141" t="str">
        <f>IF(I45="","", SUMIF(Overview!$O$19:$O$119,I45,Overview!$Q$19:$Q$119))</f>
        <v/>
      </c>
      <c r="S45" s="140"/>
    </row>
    <row r="46" spans="10:19">
      <c r="J46" s="140" t="str">
        <f>IF(I46="","", SUMIF(Overview!$O$19:$O$119,I46,Overview!$M$19:$M$119))</f>
        <v/>
      </c>
      <c r="K46" s="140" t="str">
        <f>IF(I46="","", SUMIF(Overview!$O$19:$O$119,I46,Overview!$N$19:$N$119))</f>
        <v/>
      </c>
      <c r="L46" s="140" t="str">
        <f t="shared" si="1"/>
        <v/>
      </c>
      <c r="M46" s="141" t="str">
        <f>IF(I46="","", SUMIF(Overview!$O$19:$O$119,I46,Overview!$Q$19:$Q$119))</f>
        <v/>
      </c>
      <c r="S46" s="140"/>
    </row>
    <row r="47" spans="10:19">
      <c r="J47" s="140" t="str">
        <f>IF(I47="","", SUMIF(Overview!$O$19:$O$119,I47,Overview!$M$19:$M$119))</f>
        <v/>
      </c>
      <c r="K47" s="140" t="str">
        <f>IF(I47="","", SUMIF(Overview!$O$19:$O$119,I47,Overview!$N$19:$N$119))</f>
        <v/>
      </c>
      <c r="L47" s="140" t="str">
        <f t="shared" si="1"/>
        <v/>
      </c>
      <c r="M47" s="141" t="str">
        <f>IF(I47="","", SUMIF(Overview!$O$19:$O$119,I47,Overview!$Q$19:$Q$119))</f>
        <v/>
      </c>
      <c r="S47" s="140"/>
    </row>
    <row r="48" spans="10:19">
      <c r="J48" s="140" t="str">
        <f>IF(I48="","", SUMIF(Overview!$O$19:$O$119,I48,Overview!$M$19:$M$119))</f>
        <v/>
      </c>
      <c r="K48" s="140" t="str">
        <f>IF(I48="","", SUMIF(Overview!$O$19:$O$119,I48,Overview!$N$19:$N$119))</f>
        <v/>
      </c>
      <c r="L48" s="140" t="str">
        <f t="shared" si="1"/>
        <v/>
      </c>
      <c r="M48" s="141" t="str">
        <f>IF(I48="","", SUMIF(Overview!$O$19:$O$119,I48,Overview!$Q$19:$Q$119))</f>
        <v/>
      </c>
      <c r="S48" s="140"/>
    </row>
    <row r="49" spans="10:19">
      <c r="J49" s="140" t="str">
        <f>IF(I49="","", SUMIF(Overview!$O$19:$O$119,I49,Overview!$M$19:$M$119))</f>
        <v/>
      </c>
      <c r="K49" s="140" t="str">
        <f>IF(I49="","", SUMIF(Overview!$O$19:$O$119,I49,Overview!$N$19:$N$119))</f>
        <v/>
      </c>
      <c r="L49" s="140" t="str">
        <f t="shared" si="1"/>
        <v/>
      </c>
      <c r="M49" s="141" t="str">
        <f>IF(I49="","", SUMIF(Overview!$O$19:$O$119,I49,Overview!$Q$19:$Q$119))</f>
        <v/>
      </c>
      <c r="S49" s="140"/>
    </row>
    <row r="50" spans="10:19">
      <c r="J50" s="140" t="str">
        <f>IF(I50="","", SUMIF(Overview!$O$19:$O$119,I50,Overview!$M$19:$M$119))</f>
        <v/>
      </c>
      <c r="K50" s="140" t="str">
        <f>IF(I50="","", SUMIF(Overview!$O$19:$O$119,I50,Overview!$N$19:$N$119))</f>
        <v/>
      </c>
      <c r="L50" s="140" t="str">
        <f t="shared" si="1"/>
        <v/>
      </c>
      <c r="M50" s="141" t="str">
        <f>IF(I50="","", SUMIF(Overview!$O$19:$O$119,I50,Overview!$Q$19:$Q$119))</f>
        <v/>
      </c>
      <c r="S50" s="140"/>
    </row>
    <row r="51" spans="10:19">
      <c r="J51" s="140" t="str">
        <f>IF(I51="","", SUMIF(Overview!$O$19:$O$119,I51,Overview!$M$19:$M$119))</f>
        <v/>
      </c>
      <c r="K51" s="140" t="str">
        <f>IF(I51="","", SUMIF(Overview!$O$19:$O$119,I51,Overview!$N$19:$N$119))</f>
        <v/>
      </c>
      <c r="L51" s="140" t="str">
        <f t="shared" si="1"/>
        <v/>
      </c>
      <c r="M51" s="141" t="str">
        <f>IF(I51="","", SUMIF(Overview!$O$19:$O$119,I51,Overview!$Q$19:$Q$119))</f>
        <v/>
      </c>
      <c r="S51" s="140"/>
    </row>
    <row r="52" spans="10:19">
      <c r="J52" s="140" t="str">
        <f>IF(I52="","", SUMIF(Overview!$O$19:$O$119,I52,Overview!$M$19:$M$119))</f>
        <v/>
      </c>
      <c r="K52" s="140" t="str">
        <f>IF(I52="","", SUMIF(Overview!$O$19:$O$119,I52,Overview!$N$19:$N$119))</f>
        <v/>
      </c>
      <c r="L52" s="140" t="str">
        <f t="shared" si="1"/>
        <v/>
      </c>
      <c r="M52" s="141" t="str">
        <f>IF(I52="","", SUMIF(Overview!$O$19:$O$119,I52,Overview!$Q$19:$Q$119))</f>
        <v/>
      </c>
      <c r="S52" s="140"/>
    </row>
    <row r="53" spans="10:19">
      <c r="J53" s="140" t="str">
        <f>IF(I53="","", SUMIF(Overview!$O$19:$O$119,I53,Overview!$M$19:$M$119))</f>
        <v/>
      </c>
      <c r="K53" s="140" t="str">
        <f>IF(I53="","", SUMIF(Overview!$O$19:$O$119,I53,Overview!$N$19:$N$119))</f>
        <v/>
      </c>
      <c r="L53" s="140" t="str">
        <f t="shared" si="1"/>
        <v/>
      </c>
      <c r="M53" s="141" t="str">
        <f>IF(I53="","", SUMIF(Overview!$O$19:$O$119,I53,Overview!$Q$19:$Q$119))</f>
        <v/>
      </c>
      <c r="S53" s="140"/>
    </row>
    <row r="54" spans="10:19">
      <c r="J54" s="140" t="str">
        <f>IF(I54="","", SUMIF(Overview!$O$19:$O$119,I54,Overview!$M$19:$M$119))</f>
        <v/>
      </c>
      <c r="K54" s="140" t="str">
        <f>IF(I54="","", SUMIF(Overview!$O$19:$O$119,I54,Overview!$N$19:$N$119))</f>
        <v/>
      </c>
      <c r="L54" s="140" t="str">
        <f t="shared" si="1"/>
        <v/>
      </c>
      <c r="M54" s="141" t="str">
        <f>IF(I54="","", SUMIF(Overview!$O$19:$O$119,I54,Overview!$Q$19:$Q$119))</f>
        <v/>
      </c>
      <c r="S54" s="140"/>
    </row>
    <row r="55" spans="10:19">
      <c r="J55" s="140" t="str">
        <f>IF(I55="","", SUMIF(Overview!$O$19:$O$119,I55,Overview!$M$19:$M$119))</f>
        <v/>
      </c>
      <c r="K55" s="140" t="str">
        <f>IF(I55="","", SUMIF(Overview!$O$19:$O$119,I55,Overview!$N$19:$N$119))</f>
        <v/>
      </c>
      <c r="L55" s="140" t="str">
        <f t="shared" si="1"/>
        <v/>
      </c>
      <c r="M55" s="141" t="str">
        <f>IF(I55="","", SUMIF(Overview!$O$19:$O$119,I55,Overview!$Q$19:$Q$119))</f>
        <v/>
      </c>
      <c r="S55" s="140"/>
    </row>
    <row r="56" spans="10:19">
      <c r="J56" s="140" t="str">
        <f>IF(I56="","", SUMIF(Overview!$O$19:$O$119,I56,Overview!$M$19:$M$119))</f>
        <v/>
      </c>
      <c r="K56" s="140" t="str">
        <f>IF(I56="","", SUMIF(Overview!$O$19:$O$119,I56,Overview!$N$19:$N$119))</f>
        <v/>
      </c>
      <c r="L56" s="140" t="str">
        <f t="shared" si="1"/>
        <v/>
      </c>
      <c r="M56" s="141" t="str">
        <f>IF(I56="","", SUMIF(Overview!$O$19:$O$119,I56,Overview!$Q$19:$Q$119))</f>
        <v/>
      </c>
      <c r="S56" s="140"/>
    </row>
    <row r="57" spans="10:19">
      <c r="J57" s="140" t="str">
        <f>IF(I57="","", SUMIF(Overview!$O$19:$O$119,I57,Overview!$M$19:$M$119))</f>
        <v/>
      </c>
      <c r="K57" s="140" t="str">
        <f>IF(I57="","", SUMIF(Overview!$O$19:$O$119,I57,Overview!$N$19:$N$119))</f>
        <v/>
      </c>
      <c r="L57" s="140" t="str">
        <f t="shared" si="1"/>
        <v/>
      </c>
      <c r="M57" s="141" t="str">
        <f>IF(I57="","", SUMIF(Overview!$O$19:$O$119,I57,Overview!$Q$19:$Q$119))</f>
        <v/>
      </c>
      <c r="S57" s="140"/>
    </row>
    <row r="58" spans="10:19">
      <c r="J58" s="140" t="str">
        <f>IF(I58="","", SUMIF(Overview!$O$19:$O$119,I58,Overview!$M$19:$M$119))</f>
        <v/>
      </c>
      <c r="K58" s="140" t="str">
        <f>IF(I58="","", SUMIF(Overview!$O$19:$O$119,I58,Overview!$N$19:$N$119))</f>
        <v/>
      </c>
      <c r="L58" s="140" t="str">
        <f t="shared" si="1"/>
        <v/>
      </c>
      <c r="M58" s="141" t="str">
        <f>IF(I58="","", SUMIF(Overview!$O$19:$O$119,I58,Overview!$Q$19:$Q$119))</f>
        <v/>
      </c>
      <c r="S58" s="140"/>
    </row>
    <row r="59" spans="10:19">
      <c r="J59" s="140" t="str">
        <f>IF(I59="","", SUMIF(Overview!$O$19:$O$119,I59,Overview!$M$19:$M$119))</f>
        <v/>
      </c>
      <c r="K59" s="140" t="str">
        <f>IF(I59="","", SUMIF(Overview!$O$19:$O$119,I59,Overview!$N$19:$N$119))</f>
        <v/>
      </c>
      <c r="L59" s="140" t="str">
        <f t="shared" si="1"/>
        <v/>
      </c>
      <c r="M59" s="141" t="str">
        <f>IF(I59="","", SUMIF(Overview!$O$19:$O$119,I59,Overview!$Q$19:$Q$119))</f>
        <v/>
      </c>
      <c r="S59" s="140"/>
    </row>
    <row r="60" spans="10:19">
      <c r="J60" s="140" t="str">
        <f>IF(I60="","", SUMIF(Overview!$O$19:$O$119,I60,Overview!$M$19:$M$119))</f>
        <v/>
      </c>
      <c r="K60" s="140" t="str">
        <f>IF(I60="","", SUMIF(Overview!$O$19:$O$119,I60,Overview!$N$19:$N$119))</f>
        <v/>
      </c>
      <c r="L60" s="140" t="str">
        <f t="shared" si="1"/>
        <v/>
      </c>
      <c r="M60" s="141" t="str">
        <f>IF(I60="","", SUMIF(Overview!$O$19:$O$119,I60,Overview!$Q$19:$Q$119))</f>
        <v/>
      </c>
      <c r="S60" s="140"/>
    </row>
    <row r="61" spans="10:19">
      <c r="J61" s="140" t="str">
        <f>IF(I61="","", SUMIF(Overview!$O$19:$O$119,I61,Overview!$M$19:$M$119))</f>
        <v/>
      </c>
      <c r="K61" s="140" t="str">
        <f>IF(I61="","", SUMIF(Overview!$O$19:$O$119,I61,Overview!$N$19:$N$119))</f>
        <v/>
      </c>
      <c r="L61" s="140" t="str">
        <f t="shared" si="1"/>
        <v/>
      </c>
      <c r="M61" s="141" t="str">
        <f>IF(I61="","", SUMIF(Overview!$O$19:$O$119,I61,Overview!$Q$19:$Q$119))</f>
        <v/>
      </c>
      <c r="S61" s="140"/>
    </row>
    <row r="62" spans="10:19">
      <c r="J62" s="140" t="str">
        <f>IF(I62="","", SUMIF(Overview!$O$19:$O$119,I62,Overview!$M$19:$M$119))</f>
        <v/>
      </c>
      <c r="K62" s="140" t="str">
        <f>IF(I62="","", SUMIF(Overview!$O$19:$O$119,I62,Overview!$N$19:$N$119))</f>
        <v/>
      </c>
      <c r="L62" s="140" t="str">
        <f t="shared" si="1"/>
        <v/>
      </c>
      <c r="M62" s="141" t="str">
        <f>IF(I62="","", SUMIF(Overview!$O$19:$O$119,I62,Overview!$Q$19:$Q$119))</f>
        <v/>
      </c>
      <c r="S62" s="140"/>
    </row>
    <row r="63" spans="10:19">
      <c r="J63" s="140" t="str">
        <f>IF(I63="","", SUMIF(Overview!$O$19:$O$119,I63,Overview!$M$19:$M$119))</f>
        <v/>
      </c>
      <c r="K63" s="140" t="str">
        <f>IF(I63="","", SUMIF(Overview!$O$19:$O$119,I63,Overview!$N$19:$N$119))</f>
        <v/>
      </c>
      <c r="L63" s="140" t="str">
        <f t="shared" si="1"/>
        <v/>
      </c>
      <c r="M63" s="141" t="str">
        <f>IF(I63="","", SUMIF(Overview!$O$19:$O$119,I63,Overview!$Q$19:$Q$119))</f>
        <v/>
      </c>
      <c r="S63" s="140"/>
    </row>
    <row r="64" spans="10:19">
      <c r="J64" s="140" t="str">
        <f>IF(I64="","", SUMIF(Overview!$O$19:$O$119,I64,Overview!$M$19:$M$119))</f>
        <v/>
      </c>
      <c r="K64" s="140" t="str">
        <f>IF(I64="","", SUMIF(Overview!$O$19:$O$119,I64,Overview!$N$19:$N$119))</f>
        <v/>
      </c>
      <c r="L64" s="140" t="str">
        <f t="shared" si="1"/>
        <v/>
      </c>
      <c r="M64" s="141" t="str">
        <f>IF(I64="","", SUMIF(Overview!$O$19:$O$119,I64,Overview!$Q$19:$Q$119))</f>
        <v/>
      </c>
      <c r="S64" s="140"/>
    </row>
    <row r="65" spans="10:19">
      <c r="J65" s="140" t="str">
        <f>IF(I65="","", SUMIF(Overview!$O$19:$O$119,I65,Overview!$M$19:$M$119))</f>
        <v/>
      </c>
      <c r="K65" s="140" t="str">
        <f>IF(I65="","", SUMIF(Overview!$O$19:$O$119,I65,Overview!$N$19:$N$119))</f>
        <v/>
      </c>
      <c r="L65" s="140" t="str">
        <f t="shared" si="1"/>
        <v/>
      </c>
      <c r="M65" s="141" t="str">
        <f>IF(I65="","", SUMIF(Overview!$O$19:$O$119,I65,Overview!$Q$19:$Q$119))</f>
        <v/>
      </c>
      <c r="S65" s="140"/>
    </row>
    <row r="66" spans="10:19">
      <c r="J66" s="140" t="str">
        <f>IF(I66="","", SUMIF(Overview!$O$19:$O$119,I66,Overview!$M$19:$M$119))</f>
        <v/>
      </c>
      <c r="K66" s="140" t="str">
        <f>IF(I66="","", SUMIF(Overview!$O$19:$O$119,I66,Overview!$N$19:$N$119))</f>
        <v/>
      </c>
      <c r="L66" s="140" t="str">
        <f t="shared" si="1"/>
        <v/>
      </c>
      <c r="M66" s="141" t="str">
        <f>IF(I66="","", SUMIF(Overview!$O$19:$O$119,I66,Overview!$Q$19:$Q$119))</f>
        <v/>
      </c>
      <c r="S66" s="140"/>
    </row>
    <row r="67" spans="10:19">
      <c r="J67" s="140" t="str">
        <f>IF(I67="","", SUMIF(Overview!$O$19:$O$119,I67,Overview!$M$19:$M$119))</f>
        <v/>
      </c>
      <c r="K67" s="140" t="str">
        <f>IF(I67="","", SUMIF(Overview!$O$19:$O$119,I67,Overview!$N$19:$N$119))</f>
        <v/>
      </c>
      <c r="L67" s="140" t="str">
        <f t="shared" si="1"/>
        <v/>
      </c>
      <c r="M67" s="141" t="str">
        <f>IF(I67="","", SUMIF(Overview!$O$19:$O$119,I67,Overview!$Q$19:$Q$119))</f>
        <v/>
      </c>
      <c r="S67" s="140"/>
    </row>
    <row r="68" spans="10:19">
      <c r="J68" s="140" t="str">
        <f>IF(I68="","", SUMIF(Overview!$O$19:$O$119,I68,Overview!$M$19:$M$119))</f>
        <v/>
      </c>
      <c r="K68" s="140" t="str">
        <f>IF(I68="","", SUMIF(Overview!$O$19:$O$119,I68,Overview!$N$19:$N$119))</f>
        <v/>
      </c>
      <c r="L68" s="140" t="str">
        <f t="shared" si="1"/>
        <v/>
      </c>
      <c r="M68" s="141" t="str">
        <f>IF(I68="","", SUMIF(Overview!$O$19:$O$119,I68,Overview!$Q$19:$Q$119))</f>
        <v/>
      </c>
      <c r="S68" s="140"/>
    </row>
    <row r="69" spans="10:19">
      <c r="J69" s="140" t="str">
        <f>IF(I69="","", SUMIF(Overview!$O$19:$O$119,I69,Overview!$M$19:$M$119))</f>
        <v/>
      </c>
      <c r="K69" s="140" t="str">
        <f>IF(I69="","", SUMIF(Overview!$O$19:$O$119,I69,Overview!$N$19:$N$119))</f>
        <v/>
      </c>
      <c r="L69" s="140" t="str">
        <f t="shared" si="1"/>
        <v/>
      </c>
      <c r="M69" s="141" t="str">
        <f>IF(I69="","", SUMIF(Overview!$O$19:$O$119,I69,Overview!$Q$19:$Q$119))</f>
        <v/>
      </c>
      <c r="S69" s="140"/>
    </row>
    <row r="70" spans="10:19">
      <c r="J70" s="140" t="str">
        <f>IF(I70="","", SUMIF(Overview!$O$19:$O$119,I70,Overview!$M$19:$M$119))</f>
        <v/>
      </c>
      <c r="K70" s="140" t="str">
        <f>IF(I70="","", SUMIF(Overview!$O$19:$O$119,I70,Overview!$N$19:$N$119))</f>
        <v/>
      </c>
      <c r="L70" s="140" t="str">
        <f t="shared" si="1"/>
        <v/>
      </c>
      <c r="M70" s="141" t="str">
        <f>IF(I70="","", SUMIF(Overview!$O$19:$O$119,I70,Overview!$Q$19:$Q$119))</f>
        <v/>
      </c>
      <c r="S70" s="140"/>
    </row>
    <row r="71" spans="10:19">
      <c r="J71" s="140" t="str">
        <f>IF(I71="","", SUMIF(Overview!$O$19:$O$119,I71,Overview!$M$19:$M$119))</f>
        <v/>
      </c>
      <c r="K71" s="140" t="str">
        <f>IF(I71="","", SUMIF(Overview!$O$19:$O$119,I71,Overview!$N$19:$N$119))</f>
        <v/>
      </c>
      <c r="L71" s="140" t="str">
        <f t="shared" si="1"/>
        <v/>
      </c>
      <c r="M71" s="141" t="str">
        <f>IF(I71="","", SUMIF(Overview!$O$19:$O$119,I71,Overview!$Q$19:$Q$119))</f>
        <v/>
      </c>
      <c r="S71" s="140"/>
    </row>
    <row r="72" spans="10:19">
      <c r="J72" s="140" t="str">
        <f>IF(I72="","", SUMIF(Overview!$O$19:$O$119,I72,Overview!$M$19:$M$119))</f>
        <v/>
      </c>
      <c r="K72" s="140" t="str">
        <f>IF(I72="","", SUMIF(Overview!$O$19:$O$119,I72,Overview!$N$19:$N$119))</f>
        <v/>
      </c>
      <c r="L72" s="140" t="str">
        <f t="shared" si="1"/>
        <v/>
      </c>
      <c r="M72" s="141" t="str">
        <f>IF(I72="","", SUMIF(Overview!$O$19:$O$119,I72,Overview!$Q$19:$Q$119))</f>
        <v/>
      </c>
      <c r="S72" s="140"/>
    </row>
    <row r="73" spans="10:19">
      <c r="J73" s="140" t="str">
        <f>IF(I73="","", SUMIF(Overview!$O$19:$O$119,I73,Overview!$M$19:$M$119))</f>
        <v/>
      </c>
      <c r="K73" s="140" t="str">
        <f>IF(I73="","", SUMIF(Overview!$O$19:$O$119,I73,Overview!$N$19:$N$119))</f>
        <v/>
      </c>
      <c r="L73" s="140" t="str">
        <f t="shared" si="1"/>
        <v/>
      </c>
      <c r="M73" s="141" t="str">
        <f>IF(I73="","", SUMIF(Overview!$O$19:$O$119,I73,Overview!$Q$19:$Q$119))</f>
        <v/>
      </c>
      <c r="S73" s="140"/>
    </row>
    <row r="74" spans="10:19">
      <c r="J74" s="140" t="str">
        <f>IF(I74="","", SUMIF(Overview!$O$19:$O$119,I74,Overview!$M$19:$M$119))</f>
        <v/>
      </c>
      <c r="K74" s="140" t="str">
        <f>IF(I74="","", SUMIF(Overview!$O$19:$O$119,I74,Overview!$N$19:$N$119))</f>
        <v/>
      </c>
      <c r="L74" s="140" t="str">
        <f t="shared" si="1"/>
        <v/>
      </c>
      <c r="M74" s="141" t="str">
        <f>IF(I74="","", SUMIF(Overview!$O$19:$O$119,I74,Overview!$Q$19:$Q$119))</f>
        <v/>
      </c>
      <c r="S74" s="140"/>
    </row>
    <row r="75" spans="10:19">
      <c r="J75" s="140" t="str">
        <f>IF(I75="","", SUMIF(Overview!$O$19:$O$119,I75,Overview!$M$19:$M$119))</f>
        <v/>
      </c>
      <c r="K75" s="140" t="str">
        <f>IF(I75="","", SUMIF(Overview!$O$19:$O$119,I75,Overview!$N$19:$N$119))</f>
        <v/>
      </c>
      <c r="L75" s="140" t="str">
        <f t="shared" si="1"/>
        <v/>
      </c>
      <c r="M75" s="141" t="str">
        <f>IF(I75="","", SUMIF(Overview!$O$19:$O$119,I75,Overview!$Q$19:$Q$119))</f>
        <v/>
      </c>
      <c r="S75" s="140"/>
    </row>
    <row r="76" spans="10:19">
      <c r="J76" s="140" t="str">
        <f>IF(I76="","", SUMIF(Overview!$O$19:$O$119,I76,Overview!$M$19:$M$119))</f>
        <v/>
      </c>
      <c r="K76" s="140" t="str">
        <f>IF(I76="","", SUMIF(Overview!$O$19:$O$119,I76,Overview!$N$19:$N$119))</f>
        <v/>
      </c>
      <c r="L76" s="140" t="str">
        <f t="shared" si="1"/>
        <v/>
      </c>
      <c r="M76" s="141" t="str">
        <f>IF(I76="","", SUMIF(Overview!$O$19:$O$119,I76,Overview!$Q$19:$Q$119))</f>
        <v/>
      </c>
      <c r="S76" s="140"/>
    </row>
    <row r="77" spans="10:19">
      <c r="J77" s="140" t="str">
        <f>IF(I77="","", SUMIF(Overview!$O$19:$O$119,I77,Overview!$M$19:$M$119))</f>
        <v/>
      </c>
      <c r="K77" s="140" t="str">
        <f>IF(I77="","", SUMIF(Overview!$O$19:$O$119,I77,Overview!$N$19:$N$119))</f>
        <v/>
      </c>
      <c r="L77" s="140" t="str">
        <f t="shared" si="1"/>
        <v/>
      </c>
      <c r="M77" s="141" t="str">
        <f>IF(I77="","", SUMIF(Overview!$O$19:$O$119,I77,Overview!$Q$19:$Q$119))</f>
        <v/>
      </c>
      <c r="S77" s="140"/>
    </row>
    <row r="78" spans="10:19">
      <c r="J78" s="140" t="str">
        <f>IF(I78="","", SUMIF(Overview!$O$19:$O$119,I78,Overview!$M$19:$M$119))</f>
        <v/>
      </c>
      <c r="K78" s="140" t="str">
        <f>IF(I78="","", SUMIF(Overview!$O$19:$O$119,I78,Overview!$N$19:$N$119))</f>
        <v/>
      </c>
      <c r="L78" s="140" t="str">
        <f t="shared" si="1"/>
        <v/>
      </c>
      <c r="M78" s="141" t="str">
        <f>IF(I78="","", SUMIF(Overview!$O$19:$O$119,I78,Overview!$Q$19:$Q$119))</f>
        <v/>
      </c>
      <c r="S78" s="140"/>
    </row>
    <row r="79" spans="10:19">
      <c r="J79" s="140" t="str">
        <f>IF(I79="","", SUMIF(Overview!$O$19:$O$119,I79,Overview!$M$19:$M$119))</f>
        <v/>
      </c>
      <c r="K79" s="140" t="str">
        <f>IF(I79="","", SUMIF(Overview!$O$19:$O$119,I79,Overview!$N$19:$N$119))</f>
        <v/>
      </c>
      <c r="L79" s="140" t="str">
        <f t="shared" si="1"/>
        <v/>
      </c>
      <c r="M79" s="141" t="str">
        <f>IF(I79="","", SUMIF(Overview!$O$19:$O$119,I79,Overview!$Q$19:$Q$119))</f>
        <v/>
      </c>
      <c r="S79" s="140"/>
    </row>
    <row r="80" spans="10:19">
      <c r="J80" s="140" t="str">
        <f>IF(I80="","", SUMIF(Overview!$O$19:$O$119,I80,Overview!$M$19:$M$119))</f>
        <v/>
      </c>
      <c r="K80" s="140" t="str">
        <f>IF(I80="","", SUMIF(Overview!$O$19:$O$119,I80,Overview!$N$19:$N$119))</f>
        <v/>
      </c>
      <c r="L80" s="140" t="str">
        <f t="shared" si="1"/>
        <v/>
      </c>
      <c r="M80" s="141" t="str">
        <f>IF(I80="","", SUMIF(Overview!$O$19:$O$119,I80,Overview!$Q$19:$Q$119))</f>
        <v/>
      </c>
      <c r="S80" s="140"/>
    </row>
    <row r="81" spans="10:19">
      <c r="J81" s="140" t="str">
        <f>IF(I81="","", SUMIF(Overview!$O$19:$O$119,I81,Overview!$M$19:$M$119))</f>
        <v/>
      </c>
      <c r="K81" s="140" t="str">
        <f>IF(I81="","", SUMIF(Overview!$O$19:$O$119,I81,Overview!$N$19:$N$119))</f>
        <v/>
      </c>
      <c r="L81" s="140" t="str">
        <f t="shared" si="1"/>
        <v/>
      </c>
      <c r="M81" s="141" t="str">
        <f>IF(I81="","", SUMIF(Overview!$O$19:$O$119,I81,Overview!$Q$19:$Q$119))</f>
        <v/>
      </c>
      <c r="S81" s="140"/>
    </row>
    <row r="82" spans="10:19">
      <c r="J82" s="140" t="str">
        <f>IF(I82="","", SUMIF(Overview!$O$19:$O$119,I82,Overview!$M$19:$M$119))</f>
        <v/>
      </c>
      <c r="K82" s="140" t="str">
        <f>IF(I82="","", SUMIF(Overview!$O$19:$O$119,I82,Overview!$N$19:$N$119))</f>
        <v/>
      </c>
      <c r="L82" s="140" t="str">
        <f t="shared" si="1"/>
        <v/>
      </c>
      <c r="M82" s="141" t="str">
        <f>IF(I82="","", SUMIF(Overview!$O$19:$O$119,I82,Overview!$Q$19:$Q$119))</f>
        <v/>
      </c>
      <c r="S82" s="140"/>
    </row>
    <row r="83" spans="10:19">
      <c r="J83" s="140" t="str">
        <f>IF(I83="","", SUMIF(Overview!$O$19:$O$119,I83,Overview!$M$19:$M$119))</f>
        <v/>
      </c>
      <c r="K83" s="140" t="str">
        <f>IF(I83="","", SUMIF(Overview!$O$19:$O$119,I83,Overview!$N$19:$N$119))</f>
        <v/>
      </c>
      <c r="L83" s="140" t="str">
        <f t="shared" si="1"/>
        <v/>
      </c>
      <c r="M83" s="141" t="str">
        <f>IF(I83="","", SUMIF(Overview!$O$19:$O$119,I83,Overview!$Q$19:$Q$119))</f>
        <v/>
      </c>
      <c r="S83" s="140"/>
    </row>
    <row r="84" spans="10:19">
      <c r="J84" s="140" t="str">
        <f>IF(I84="","", SUMIF(Overview!$O$19:$O$119,I84,Overview!$M$19:$M$119))</f>
        <v/>
      </c>
      <c r="K84" s="140" t="str">
        <f>IF(I84="","", SUMIF(Overview!$O$19:$O$119,I84,Overview!$N$19:$N$119))</f>
        <v/>
      </c>
      <c r="L84" s="140" t="str">
        <f t="shared" si="1"/>
        <v/>
      </c>
      <c r="M84" s="141" t="str">
        <f>IF(I84="","", SUMIF(Overview!$O$19:$O$119,I84,Overview!$Q$19:$Q$119))</f>
        <v/>
      </c>
      <c r="S84" s="140"/>
    </row>
    <row r="85" spans="10:19">
      <c r="J85" s="140" t="str">
        <f>IF(I85="","", SUMIF(Overview!$O$19:$O$119,I85,Overview!$M$19:$M$119))</f>
        <v/>
      </c>
      <c r="K85" s="140" t="str">
        <f>IF(I85="","", SUMIF(Overview!$O$19:$O$119,I85,Overview!$N$19:$N$119))</f>
        <v/>
      </c>
      <c r="L85" s="140" t="str">
        <f t="shared" si="1"/>
        <v/>
      </c>
      <c r="M85" s="141" t="str">
        <f>IF(I85="","", SUMIF(Overview!$O$19:$O$119,I85,Overview!$Q$19:$Q$119))</f>
        <v/>
      </c>
      <c r="S85" s="140"/>
    </row>
    <row r="86" spans="10:19">
      <c r="J86" s="140" t="str">
        <f>IF(I86="","", SUMIF(Overview!$O$19:$O$119,I86,Overview!$M$19:$M$119))</f>
        <v/>
      </c>
      <c r="K86" s="140" t="str">
        <f>IF(I86="","", SUMIF(Overview!$O$19:$O$119,I86,Overview!$N$19:$N$119))</f>
        <v/>
      </c>
      <c r="L86" s="140" t="str">
        <f t="shared" si="1"/>
        <v/>
      </c>
      <c r="M86" s="141" t="str">
        <f>IF(I86="","", SUMIF(Overview!$O$19:$O$119,I86,Overview!$Q$19:$Q$119))</f>
        <v/>
      </c>
      <c r="S86" s="140"/>
    </row>
    <row r="87" spans="10:19">
      <c r="J87" s="140" t="str">
        <f>IF(I87="","", SUMIF(Overview!$O$19:$O$119,I87,Overview!$M$19:$M$119))</f>
        <v/>
      </c>
      <c r="K87" s="140" t="str">
        <f>IF(I87="","", SUMIF(Overview!$O$19:$O$119,I87,Overview!$N$19:$N$119))</f>
        <v/>
      </c>
      <c r="L87" s="140" t="str">
        <f t="shared" si="1"/>
        <v/>
      </c>
      <c r="M87" s="141" t="str">
        <f>IF(I87="","", SUMIF(Overview!$O$19:$O$119,I87,Overview!$Q$19:$Q$119))</f>
        <v/>
      </c>
      <c r="S87" s="140"/>
    </row>
    <row r="88" spans="10:19">
      <c r="J88" s="140" t="str">
        <f>IF(I88="","", SUMIF(Overview!$O$19:$O$119,I88,Overview!$M$19:$M$119))</f>
        <v/>
      </c>
      <c r="K88" s="140" t="str">
        <f>IF(I88="","", SUMIF(Overview!$O$19:$O$119,I88,Overview!$N$19:$N$119))</f>
        <v/>
      </c>
      <c r="L88" s="140" t="str">
        <f t="shared" si="1"/>
        <v/>
      </c>
      <c r="M88" s="141" t="str">
        <f>IF(I88="","", SUMIF(Overview!$O$19:$O$119,I88,Overview!$Q$19:$Q$119))</f>
        <v/>
      </c>
    </row>
    <row r="89" spans="10:19">
      <c r="J89" s="140" t="str">
        <f>IF(I89="","", SUMIF(Overview!$O$19:$O$119,I89,Overview!$M$19:$M$119))</f>
        <v/>
      </c>
      <c r="K89" s="140" t="str">
        <f>IF(I89="","", SUMIF(Overview!$O$19:$O$119,I89,Overview!$N$19:$N$119))</f>
        <v/>
      </c>
      <c r="L89" s="140" t="str">
        <f t="shared" si="1"/>
        <v/>
      </c>
      <c r="M89" s="141" t="str">
        <f>IF(I89="","", SUMIF(Overview!$O$19:$O$119,I89,Overview!$Q$19:$Q$119))</f>
        <v/>
      </c>
    </row>
    <row r="90" spans="10:19">
      <c r="J90" s="140" t="str">
        <f>IF(I90="","", SUMIF(Overview!$O$19:$O$119,I90,Overview!$M$19:$M$119))</f>
        <v/>
      </c>
      <c r="K90" s="140" t="str">
        <f>IF(I90="","", SUMIF(Overview!$O$19:$O$119,I90,Overview!$N$19:$N$119))</f>
        <v/>
      </c>
      <c r="L90" s="140" t="str">
        <f t="shared" si="1"/>
        <v/>
      </c>
      <c r="M90" s="141" t="str">
        <f>IF(I90="","", SUMIF(Overview!$O$19:$O$119,I90,Overview!$Q$19:$Q$119))</f>
        <v/>
      </c>
    </row>
    <row r="91" spans="10:19">
      <c r="J91" s="140" t="str">
        <f>IF(I91="","", SUMIF(Overview!$O$19:$O$119,I91,Overview!$M$19:$M$119))</f>
        <v/>
      </c>
      <c r="K91" s="140" t="str">
        <f>IF(I91="","", SUMIF(Overview!$O$19:$O$119,I91,Overview!$N$19:$N$119))</f>
        <v/>
      </c>
      <c r="L91" s="140" t="str">
        <f t="shared" si="1"/>
        <v/>
      </c>
      <c r="M91" s="141" t="str">
        <f>IF(I91="","", SUMIF(Overview!$O$19:$O$119,I91,Overview!$Q$19:$Q$119))</f>
        <v/>
      </c>
    </row>
    <row r="92" spans="10:19">
      <c r="J92" s="140" t="str">
        <f>IF(I92="","", SUMIF(Overview!$O$19:$O$119,I92,Overview!$M$19:$M$119))</f>
        <v/>
      </c>
      <c r="K92" s="140" t="str">
        <f>IF(I92="","", SUMIF(Overview!$O$19:$O$119,I92,Overview!$N$19:$N$119))</f>
        <v/>
      </c>
      <c r="L92" s="140" t="str">
        <f t="shared" si="1"/>
        <v/>
      </c>
      <c r="M92" s="141" t="str">
        <f>IF(I92="","", SUMIF(Overview!$O$19:$O$119,I92,Overview!$Q$19:$Q$119))</f>
        <v/>
      </c>
    </row>
    <row r="93" spans="10:19">
      <c r="J93" s="140" t="str">
        <f>IF(I93="","", SUMIF(Overview!$O$19:$O$119,I93,Overview!$M$19:$M$119))</f>
        <v/>
      </c>
      <c r="K93" s="140" t="str">
        <f>IF(I93="","", SUMIF(Overview!$O$19:$O$119,I93,Overview!$N$19:$N$119))</f>
        <v/>
      </c>
      <c r="L93" s="140" t="str">
        <f t="shared" si="1"/>
        <v/>
      </c>
      <c r="M93" s="141" t="str">
        <f>IF(I93="","", SUMIF(Overview!$O$19:$O$119,I93,Overview!$Q$19:$Q$119))</f>
        <v/>
      </c>
    </row>
    <row r="94" spans="10:19">
      <c r="J94" s="140" t="str">
        <f>IF(I94="","", SUMIF(Overview!$O$19:$O$119,I94,Overview!$M$19:$M$119))</f>
        <v/>
      </c>
      <c r="K94" s="140" t="str">
        <f>IF(I94="","", SUMIF(Overview!$O$19:$O$119,I94,Overview!$N$19:$N$119))</f>
        <v/>
      </c>
      <c r="L94" s="140" t="str">
        <f t="shared" si="1"/>
        <v/>
      </c>
      <c r="M94" s="141" t="str">
        <f>IF(I94="","", SUMIF(Overview!$O$19:$O$119,I94,Overview!$Q$19:$Q$119))</f>
        <v/>
      </c>
    </row>
    <row r="95" spans="10:19">
      <c r="J95" s="140" t="str">
        <f>IF(I95="","", SUMIF(Overview!$O$19:$O$119,I95,Overview!$M$19:$M$119))</f>
        <v/>
      </c>
      <c r="K95" s="140" t="str">
        <f>IF(I95="","", SUMIF(Overview!$O$19:$O$119,I95,Overview!$N$19:$N$119))</f>
        <v/>
      </c>
      <c r="L95" s="140" t="str">
        <f t="shared" si="1"/>
        <v/>
      </c>
      <c r="M95" s="141" t="str">
        <f>IF(I95="","", SUMIF(Overview!$O$19:$O$119,I95,Overview!$Q$19:$Q$119))</f>
        <v/>
      </c>
    </row>
    <row r="96" spans="10:19">
      <c r="J96" s="140" t="str">
        <f>IF(I96="","", SUMIF(Overview!$O$19:$O$119,I96,Overview!$M$19:$M$119))</f>
        <v/>
      </c>
      <c r="K96" s="140" t="str">
        <f>IF(I96="","", SUMIF(Overview!$O$19:$O$119,I96,Overview!$N$19:$N$119))</f>
        <v/>
      </c>
      <c r="L96" s="140" t="str">
        <f t="shared" si="1"/>
        <v/>
      </c>
      <c r="M96" s="141" t="str">
        <f>IF(I96="","", SUMIF(Overview!$O$19:$O$119,I96,Overview!$Q$19:$Q$119))</f>
        <v/>
      </c>
    </row>
    <row r="97" spans="10:13">
      <c r="J97" s="140" t="str">
        <f>IF(I97="","", SUMIF(Overview!$O$19:$O$119,I97,Overview!$M$19:$M$119))</f>
        <v/>
      </c>
      <c r="K97" s="140" t="str">
        <f>IF(I97="","", SUMIF(Overview!$O$19:$O$119,I97,Overview!$N$19:$N$119))</f>
        <v/>
      </c>
      <c r="L97" s="140" t="str">
        <f t="shared" si="1"/>
        <v/>
      </c>
      <c r="M97" s="141" t="str">
        <f>IF(I97="","", SUMIF(Overview!$O$19:$O$119,I97,Overview!$Q$19:$Q$119))</f>
        <v/>
      </c>
    </row>
    <row r="98" spans="10:13">
      <c r="J98" s="140" t="str">
        <f>IF(I98="","", SUMIF(Overview!$O$19:$O$119,I98,Overview!$M$19:$M$119))</f>
        <v/>
      </c>
      <c r="K98" s="140" t="str">
        <f>IF(I98="","", SUMIF(Overview!$O$19:$O$119,I98,Overview!$N$19:$N$119))</f>
        <v/>
      </c>
      <c r="L98" s="140" t="str">
        <f t="shared" si="1"/>
        <v/>
      </c>
      <c r="M98" s="141" t="str">
        <f>IF(I98="","", SUMIF(Overview!$O$19:$O$119,I98,Overview!$Q$19:$Q$119))</f>
        <v/>
      </c>
    </row>
    <row r="99" spans="10:13">
      <c r="J99" s="140" t="str">
        <f>IF(I99="","", SUMIF(Overview!$O$19:$O$119,I99,Overview!$M$19:$M$119))</f>
        <v/>
      </c>
      <c r="K99" s="140" t="str">
        <f>IF(I99="","", SUMIF(Overview!$O$19:$O$119,I99,Overview!$N$19:$N$119))</f>
        <v/>
      </c>
      <c r="L99" s="140" t="str">
        <f t="shared" si="1"/>
        <v/>
      </c>
      <c r="M99" s="141" t="str">
        <f>IF(I99="","", SUMIF(Overview!$O$19:$O$119,I99,Overview!$Q$19:$Q$119))</f>
        <v/>
      </c>
    </row>
    <row r="100" spans="10:13">
      <c r="J100" s="140" t="str">
        <f>IF(I100="","", SUMIF(Overview!$O$19:$O$119,I100,Overview!$M$19:$M$119))</f>
        <v/>
      </c>
      <c r="K100" s="140" t="str">
        <f>IF(I100="","", SUMIF(Overview!$O$19:$O$119,I100,Overview!$N$19:$N$119))</f>
        <v/>
      </c>
      <c r="L100" s="140" t="str">
        <f t="shared" si="1"/>
        <v/>
      </c>
      <c r="M100" s="141" t="str">
        <f>IF(I100="","", SUMIF(Overview!$O$19:$O$119,I100,Overview!$Q$19:$Q$119))</f>
        <v/>
      </c>
    </row>
    <row r="101" spans="10:13">
      <c r="J101" s="140" t="str">
        <f>IF(I101="","", SUMIF(Overview!$O$19:$O$119,I101,Overview!$M$19:$M$119))</f>
        <v/>
      </c>
      <c r="K101" s="140" t="str">
        <f>IF(I101="","", SUMIF(Overview!$O$19:$O$119,I101,Overview!$N$19:$N$119))</f>
        <v/>
      </c>
      <c r="L101" s="140" t="str">
        <f t="shared" si="1"/>
        <v/>
      </c>
      <c r="M101" s="141" t="str">
        <f>IF(I101="","", SUMIF(Overview!$O$19:$O$119,I101,Overview!$Q$19:$Q$119))</f>
        <v/>
      </c>
    </row>
    <row r="102" spans="10:13">
      <c r="J102" s="140" t="str">
        <f>IF(I102="","", SUMIF(Overview!$O$19:$O$119,I102,Overview!$M$19:$M$119))</f>
        <v/>
      </c>
      <c r="K102" s="140" t="str">
        <f>IF(I102="","", SUMIF(Overview!$O$19:$O$119,I102,Overview!$N$19:$N$119))</f>
        <v/>
      </c>
      <c r="L102" s="140" t="str">
        <f t="shared" si="1"/>
        <v/>
      </c>
      <c r="M102" s="141" t="str">
        <f>IF(I102="","", SUMIF(Overview!$O$19:$O$119,I102,Overview!$Q$19:$Q$119))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Inventory List</vt:lpstr>
      <vt:lpstr>Order History</vt:lpstr>
      <vt:lpstr>Supplier Contacts</vt:lpstr>
      <vt:lpstr>Setup</vt:lpstr>
      <vt:lpstr>HELPER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Ateeb Shaikh</cp:lastModifiedBy>
  <cp:revision/>
  <dcterms:created xsi:type="dcterms:W3CDTF">2026-02-27T22:02:24Z</dcterms:created>
  <dcterms:modified xsi:type="dcterms:W3CDTF">2026-03-07T18:40:52Z</dcterms:modified>
  <cp:category/>
  <cp:contentStatus/>
</cp:coreProperties>
</file>
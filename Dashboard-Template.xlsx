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C:\Users\User\Desktop\Blueberry Labs file\Excel File Format\"/>
    </mc:Choice>
  </mc:AlternateContent>
  <xr:revisionPtr revIDLastSave="0" documentId="13_ncr:1_{45FEA7FE-01A4-43A8-BB0F-4BD252A2EA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3" i="1" l="1"/>
  <c r="Q31" i="1"/>
  <c r="Q29" i="1"/>
  <c r="Q27" i="1"/>
  <c r="Q25" i="1"/>
  <c r="M33" i="1"/>
  <c r="M31" i="1"/>
  <c r="M29" i="1"/>
  <c r="M27" i="1"/>
  <c r="M25" i="1"/>
  <c r="I33" i="1"/>
  <c r="I31" i="1"/>
  <c r="I29" i="1"/>
  <c r="I27" i="1"/>
  <c r="I25" i="1"/>
  <c r="R46" i="1"/>
  <c r="T46" i="1" s="1"/>
  <c r="Q46" i="1"/>
  <c r="M46" i="1"/>
  <c r="N46" i="1" s="1"/>
  <c r="C19" i="1" s="1"/>
  <c r="L46" i="1"/>
  <c r="K46" i="1"/>
  <c r="P4" i="1" s="1"/>
  <c r="J46" i="1"/>
  <c r="I46" i="1"/>
  <c r="H46" i="1"/>
  <c r="T43" i="1"/>
  <c r="W43" i="1" s="1"/>
  <c r="S43" i="1"/>
  <c r="P43" i="1"/>
  <c r="O43" i="1"/>
  <c r="N43" i="1"/>
  <c r="J43" i="1"/>
  <c r="T42" i="1"/>
  <c r="W42" i="1" s="1"/>
  <c r="S42" i="1"/>
  <c r="P42" i="1"/>
  <c r="O42" i="1"/>
  <c r="N42" i="1"/>
  <c r="J42" i="1"/>
  <c r="H31" i="1" s="1"/>
  <c r="T41" i="1"/>
  <c r="W41" i="1" s="1"/>
  <c r="S41" i="1"/>
  <c r="P41" i="1"/>
  <c r="O41" i="1"/>
  <c r="N41" i="1"/>
  <c r="J41" i="1"/>
  <c r="H29" i="1" s="1"/>
  <c r="W40" i="1"/>
  <c r="T40" i="1"/>
  <c r="S40" i="1"/>
  <c r="P40" i="1"/>
  <c r="O40" i="1"/>
  <c r="N40" i="1"/>
  <c r="J40" i="1"/>
  <c r="H27" i="1" s="1"/>
  <c r="W39" i="1"/>
  <c r="T39" i="1"/>
  <c r="S39" i="1"/>
  <c r="P39" i="1"/>
  <c r="O39" i="1"/>
  <c r="O46" i="1" s="1"/>
  <c r="N39" i="1"/>
  <c r="J39" i="1"/>
  <c r="H33" i="1"/>
  <c r="H25" i="1"/>
  <c r="C13" i="1"/>
  <c r="C7" i="1"/>
  <c r="U4" i="1"/>
  <c r="K4" i="1"/>
  <c r="H4" i="1"/>
  <c r="L29" i="1" l="1"/>
  <c r="L33" i="1"/>
  <c r="L27" i="1"/>
  <c r="L31" i="1"/>
  <c r="M4" i="1"/>
  <c r="L25" i="1"/>
  <c r="W46" i="1"/>
  <c r="V27" i="1" s="1"/>
  <c r="V21" i="1"/>
  <c r="P46" i="1"/>
  <c r="S46" i="1"/>
  <c r="V16" i="1" s="1"/>
  <c r="P31" i="1" l="1"/>
  <c r="P29" i="1"/>
  <c r="R4" i="1"/>
  <c r="P27" i="1"/>
  <c r="P25" i="1"/>
  <c r="P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8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 xml:space="preserve">Table here is editable and non editable. 
*Colored cells are non editable, it is already formulated, refrain from editing. </t>
        </r>
      </text>
    </comment>
    <comment ref="D45" authorId="0" shapeId="0" xr:uid="{00000000-0006-0000-0000-000002000000}">
      <text>
        <r>
          <rPr>
            <sz val="10"/>
            <color rgb="FF000000"/>
            <rFont val="Arial"/>
            <family val="2"/>
            <scheme val="minor"/>
          </rPr>
          <t xml:space="preserve">This table here is Non editable, it is already formulated. refrain from editing. </t>
        </r>
      </text>
    </comment>
  </commentList>
</comments>
</file>

<file path=xl/sharedStrings.xml><?xml version="1.0" encoding="utf-8"?>
<sst xmlns="http://schemas.openxmlformats.org/spreadsheetml/2006/main" count="72" uniqueCount="38">
  <si>
    <t>DASHBOARD</t>
  </si>
  <si>
    <t>IMPRESSIONS</t>
  </si>
  <si>
    <t>CLICKS</t>
  </si>
  <si>
    <t>COST PER CLICK</t>
  </si>
  <si>
    <t>ACQUISITIONS</t>
  </si>
  <si>
    <t>CPA</t>
  </si>
  <si>
    <t>DATE TODAY:</t>
  </si>
  <si>
    <t>TOTAL BUDGET</t>
  </si>
  <si>
    <t>TOTAL SPEND</t>
  </si>
  <si>
    <t>REVENUE GROWTH</t>
  </si>
  <si>
    <t>VARIANCE</t>
  </si>
  <si>
    <t>PROFIT</t>
  </si>
  <si>
    <t>CTR PER CAMPAIGN</t>
  </si>
  <si>
    <t>CPC PER CAMPAIGN</t>
  </si>
  <si>
    <t>CPA PER CAMPAIGN</t>
  </si>
  <si>
    <t>CAMPAIGN 1</t>
  </si>
  <si>
    <t>R O I</t>
  </si>
  <si>
    <t>CAMPAIGN 2</t>
  </si>
  <si>
    <t>CAMPAIGN 3</t>
  </si>
  <si>
    <t>CAMPAIGN 4</t>
  </si>
  <si>
    <t>CAMPAIGN 5</t>
  </si>
  <si>
    <t>REVENUE</t>
  </si>
  <si>
    <t>( POST – PRE )</t>
  </si>
  <si>
    <t>( POST-CAMPAIGN REV
  – CAMPAIGN SPEND )</t>
  </si>
  <si>
    <t>( CAMPAIGN PROFIT 
/ ACTUAL SPEND )</t>
  </si>
  <si>
    <t>CAMPAIGN</t>
  </si>
  <si>
    <t>CTR</t>
  </si>
  <si>
    <t>BUDGET</t>
  </si>
  <si>
    <t>SPEND</t>
  </si>
  <si>
    <t>BUDGET 
vs. SPEND</t>
  </si>
  <si>
    <t>CPC</t>
  </si>
  <si>
    <t>PRE-CAMPAIGN</t>
  </si>
  <si>
    <t>POST- CAMPAIGN</t>
  </si>
  <si>
    <t>CAMPAIGN PROFIT</t>
  </si>
  <si>
    <t>ROI</t>
  </si>
  <si>
    <t xml:space="preserve">OVERALL </t>
  </si>
  <si>
    <r>
      <rPr>
        <b/>
        <sz val="11"/>
        <color rgb="FF000000"/>
        <rFont val="Lato"/>
      </rPr>
      <t xml:space="preserve">CHOOSE &amp; DOWNLOAD MORE </t>
    </r>
    <r>
      <rPr>
        <b/>
        <u/>
        <sz val="11"/>
        <color rgb="FF1155CC"/>
        <rFont val="Lato"/>
      </rPr>
      <t>DASHBOARD TEMPLATES</t>
    </r>
  </si>
  <si>
    <r>
      <rPr>
        <b/>
        <sz val="11"/>
        <color rgb="FF202124"/>
        <rFont val="Lato"/>
      </rPr>
      <t xml:space="preserve">© </t>
    </r>
    <r>
      <rPr>
        <b/>
        <u/>
        <sz val="11"/>
        <color rgb="FF202124"/>
        <rFont val="Lato"/>
      </rPr>
      <t xml:space="preserve"> </t>
    </r>
    <r>
      <rPr>
        <b/>
        <u/>
        <sz val="11"/>
        <color rgb="FF1155CC"/>
        <rFont val="Lato"/>
      </rPr>
      <t>TEMPLATE.NET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</si>
</sst>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d&quot;-&quot;mmm&quot;-&quot;yyyy"/>
    <numFmt numFmtId="167" formatCode="0.0%"/>
    <numFmt numFmtId="168" formatCode="_(&quot;$&quot;* #,##0_);_(&quot;$&quot;* \(#,##0\);_(&quot;$&quot;* &quot;-&quot;??_);_(@_)"/>
  </numFmts>
  <fonts count="30">
    <font>
      <sz val="10"/>
      <color rgb="FF000000"/>
      <name val="Arial"/>
      <scheme val="minor"/>
    </font>
    <font>
      <sz val="10"/>
      <color rgb="FFFFFFFF"/>
      <name val="Poppins"/>
    </font>
    <font>
      <sz val="10"/>
      <color theme="1"/>
      <name val="Arial"/>
      <family val="2"/>
      <scheme val="minor"/>
    </font>
    <font>
      <b/>
      <sz val="33"/>
      <color rgb="FFFFFFFF"/>
      <name val="Cinzel"/>
    </font>
    <font>
      <b/>
      <sz val="13"/>
      <color rgb="FFD9EAD3"/>
      <name val="Poppins"/>
    </font>
    <font>
      <sz val="10"/>
      <name val="Arial"/>
      <family val="2"/>
    </font>
    <font>
      <b/>
      <sz val="38"/>
      <color rgb="FFFFFFFF"/>
      <name val="Poppins"/>
    </font>
    <font>
      <b/>
      <sz val="35"/>
      <color rgb="FFFFFFFF"/>
      <name val="Poppins"/>
    </font>
    <font>
      <b/>
      <sz val="14"/>
      <color rgb="FFD9EAD3"/>
      <name val="Poppins"/>
    </font>
    <font>
      <b/>
      <sz val="16"/>
      <color rgb="FFB2F4B2"/>
      <name val="Poppins"/>
    </font>
    <font>
      <b/>
      <sz val="31"/>
      <color rgb="FFFFFFFF"/>
      <name val="Poppins"/>
    </font>
    <font>
      <b/>
      <sz val="22"/>
      <color rgb="FFFFFFFF"/>
      <name val="Poppins"/>
    </font>
    <font>
      <b/>
      <sz val="31"/>
      <color rgb="FFFFFFFF"/>
      <name val="Arial"/>
      <family val="2"/>
      <scheme val="minor"/>
    </font>
    <font>
      <b/>
      <sz val="22"/>
      <color rgb="FFFFFFFF"/>
      <name val="Arial"/>
      <family val="2"/>
      <scheme val="minor"/>
    </font>
    <font>
      <sz val="20"/>
      <color rgb="FFFFFFFF"/>
      <name val="Poppins"/>
    </font>
    <font>
      <sz val="16"/>
      <color rgb="FFFFFFFF"/>
      <name val="Poppins"/>
    </font>
    <font>
      <sz val="9"/>
      <color rgb="FF000000"/>
      <name val="&quot;Google Sans Mono&quot;"/>
    </font>
    <font>
      <sz val="12"/>
      <color rgb="FFFFFFFF"/>
      <name val="Poppins"/>
    </font>
    <font>
      <sz val="16"/>
      <color rgb="FFFFFFFF"/>
      <name val="&quot;Century Gothic&quot;"/>
    </font>
    <font>
      <sz val="8"/>
      <color rgb="FFFFFFFF"/>
      <name val="&quot;Century Gothic&quot;"/>
    </font>
    <font>
      <b/>
      <sz val="16"/>
      <color rgb="FFD0E0E3"/>
      <name val="Poppins"/>
    </font>
    <font>
      <b/>
      <sz val="8"/>
      <color rgb="FFD0E0E3"/>
      <name val="Poppins"/>
    </font>
    <font>
      <b/>
      <sz val="11"/>
      <color rgb="FF434343"/>
      <name val="Poppins"/>
    </font>
    <font>
      <sz val="11"/>
      <color rgb="FFFFFFFF"/>
      <name val="Poppins"/>
    </font>
    <font>
      <b/>
      <sz val="18"/>
      <color rgb="FF434343"/>
      <name val="Poppins"/>
    </font>
    <font>
      <b/>
      <sz val="11"/>
      <color rgb="FF000000"/>
      <name val="Lato"/>
    </font>
    <font>
      <b/>
      <u/>
      <sz val="11"/>
      <color rgb="FF202124"/>
      <name val="Lato"/>
    </font>
    <font>
      <b/>
      <u/>
      <sz val="11"/>
      <color rgb="FF1155CC"/>
      <name val="Lato"/>
    </font>
    <font>
      <b/>
      <sz val="11"/>
      <color rgb="FF202124"/>
      <name val="Lato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C343D"/>
        <bgColor rgb="FF0C343D"/>
      </patternFill>
    </fill>
    <fill>
      <patternFill patternType="solid">
        <fgColor rgb="FF45818E"/>
        <bgColor rgb="FF45818E"/>
      </patternFill>
    </fill>
    <fill>
      <patternFill patternType="solid">
        <fgColor rgb="FF134F5C"/>
        <bgColor rgb="FF134F5C"/>
      </patternFill>
    </fill>
    <fill>
      <patternFill patternType="solid">
        <fgColor rgb="FF434343"/>
        <bgColor rgb="FF43434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8">
    <border>
      <left/>
      <right/>
      <top/>
      <bottom/>
      <diagonal/>
    </border>
    <border>
      <left/>
      <right/>
      <top/>
      <bottom style="double">
        <color rgb="FFD9EAD3"/>
      </bottom>
      <diagonal/>
    </border>
    <border>
      <left style="thin">
        <color rgb="FFD9EAD3"/>
      </left>
      <right/>
      <top style="thin">
        <color rgb="FFD9EAD3"/>
      </top>
      <bottom/>
      <diagonal/>
    </border>
    <border>
      <left/>
      <right/>
      <top style="thin">
        <color rgb="FFD9EAD3"/>
      </top>
      <bottom/>
      <diagonal/>
    </border>
    <border>
      <left/>
      <right style="thin">
        <color rgb="FFD9EAD3"/>
      </right>
      <top style="thin">
        <color rgb="FFD9EAD3"/>
      </top>
      <bottom/>
      <diagonal/>
    </border>
    <border>
      <left style="thin">
        <color rgb="FFD9EAD3"/>
      </left>
      <right/>
      <top/>
      <bottom/>
      <diagonal/>
    </border>
    <border>
      <left/>
      <right style="thin">
        <color rgb="FFD9EAD3"/>
      </right>
      <top/>
      <bottom/>
      <diagonal/>
    </border>
    <border>
      <left style="thin">
        <color rgb="FFD9EAD3"/>
      </left>
      <right/>
      <top/>
      <bottom style="double">
        <color rgb="FFD9EAD3"/>
      </bottom>
      <diagonal/>
    </border>
    <border>
      <left/>
      <right style="thin">
        <color rgb="FFD9EAD3"/>
      </right>
      <top/>
      <bottom style="double">
        <color rgb="FFD9EAD3"/>
      </bottom>
      <diagonal/>
    </border>
    <border>
      <left/>
      <right/>
      <top/>
      <bottom style="thin">
        <color rgb="FFD9EAD3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AD3"/>
      </left>
      <right/>
      <top style="thin">
        <color rgb="FFD9EAD3"/>
      </top>
      <bottom style="thin">
        <color rgb="FFD9EAD3"/>
      </bottom>
      <diagonal/>
    </border>
    <border>
      <left/>
      <right/>
      <top style="thin">
        <color rgb="FFD9EAD3"/>
      </top>
      <bottom style="thin">
        <color rgb="FFD9EAD3"/>
      </bottom>
      <diagonal/>
    </border>
    <border>
      <left/>
      <right style="thin">
        <color rgb="FFD9EAD3"/>
      </right>
      <top style="thin">
        <color rgb="FFD9EAD3"/>
      </top>
      <bottom style="thin">
        <color rgb="FFD9EAD3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/>
      <top style="thin">
        <color rgb="FFD9EAD3"/>
      </top>
      <bottom style="double">
        <color rgb="FFD9EAD3"/>
      </bottom>
      <diagonal/>
    </border>
    <border>
      <left/>
      <right/>
      <top style="thin">
        <color rgb="FFD9EAD3"/>
      </top>
      <bottom style="double">
        <color rgb="FFD9EAD3"/>
      </bottom>
      <diagonal/>
    </border>
    <border>
      <left/>
      <right style="thin">
        <color rgb="FFFFFFFF"/>
      </right>
      <top style="thin">
        <color rgb="FFD9EAD3"/>
      </top>
      <bottom style="double">
        <color rgb="FFD9EAD3"/>
      </bottom>
      <diagonal/>
    </border>
    <border>
      <left style="thin">
        <color rgb="FFFFFFFF"/>
      </left>
      <right style="thin">
        <color rgb="FFD9EAD3"/>
      </right>
      <top style="thin">
        <color rgb="FFD9EAD3"/>
      </top>
      <bottom style="double">
        <color rgb="FFD9EAD3"/>
      </bottom>
      <diagonal/>
    </border>
    <border>
      <left style="thin">
        <color rgb="FFD9EAD3"/>
      </left>
      <right/>
      <top/>
      <bottom style="thin">
        <color rgb="FFD9EAD3"/>
      </bottom>
      <diagonal/>
    </border>
    <border>
      <left style="thin">
        <color rgb="FFBFBFBF"/>
      </left>
      <right style="thin">
        <color rgb="FFBFBFBF"/>
      </right>
      <top/>
      <bottom style="thin">
        <color rgb="FFD9EAD3"/>
      </bottom>
      <diagonal/>
    </border>
    <border>
      <left/>
      <right style="thin">
        <color rgb="FFBFBFBF"/>
      </right>
      <top/>
      <bottom style="thin">
        <color rgb="FFD9EAD3"/>
      </bottom>
      <diagonal/>
    </border>
    <border>
      <left/>
      <right style="thin">
        <color rgb="FFD9EAD3"/>
      </right>
      <top/>
      <bottom style="thin">
        <color rgb="FFD9EAD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" fillId="4" borderId="0" xfId="0" applyFont="1" applyFill="1"/>
    <xf numFmtId="0" fontId="8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44" fontId="11" fillId="2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4" borderId="0" xfId="0" applyFont="1" applyFill="1"/>
    <xf numFmtId="0" fontId="10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44" fontId="13" fillId="2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4" fontId="10" fillId="4" borderId="0" xfId="0" applyNumberFormat="1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" fillId="4" borderId="6" xfId="0" applyFont="1" applyFill="1" applyBorder="1"/>
    <xf numFmtId="10" fontId="1" fillId="4" borderId="0" xfId="0" applyNumberFormat="1" applyFont="1" applyFill="1"/>
    <xf numFmtId="167" fontId="1" fillId="4" borderId="0" xfId="0" applyNumberFormat="1" applyFont="1" applyFill="1"/>
    <xf numFmtId="0" fontId="14" fillId="2" borderId="0" xfId="0" applyFont="1" applyFill="1" applyAlignment="1">
      <alignment horizontal="center" vertical="center"/>
    </xf>
    <xf numFmtId="10" fontId="14" fillId="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wrapText="1"/>
    </xf>
    <xf numFmtId="0" fontId="19" fillId="2" borderId="0" xfId="0" applyFont="1" applyFill="1" applyAlignment="1">
      <alignment horizontal="center" wrapText="1"/>
    </xf>
    <xf numFmtId="0" fontId="21" fillId="5" borderId="10" xfId="0" applyFont="1" applyFill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horizontal="center" vertical="center" wrapText="1"/>
    </xf>
    <xf numFmtId="3" fontId="23" fillId="2" borderId="17" xfId="0" applyNumberFormat="1" applyFont="1" applyFill="1" applyBorder="1" applyAlignment="1">
      <alignment horizontal="center"/>
    </xf>
    <xf numFmtId="10" fontId="23" fillId="4" borderId="18" xfId="0" applyNumberFormat="1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165" fontId="23" fillId="2" borderId="17" xfId="0" applyNumberFormat="1" applyFont="1" applyFill="1" applyBorder="1" applyAlignment="1">
      <alignment horizontal="center"/>
    </xf>
    <xf numFmtId="168" fontId="23" fillId="4" borderId="17" xfId="0" applyNumberFormat="1" applyFont="1" applyFill="1" applyBorder="1" applyAlignment="1">
      <alignment horizontal="right"/>
    </xf>
    <xf numFmtId="164" fontId="23" fillId="4" borderId="17" xfId="0" applyNumberFormat="1" applyFont="1" applyFill="1" applyBorder="1" applyAlignment="1">
      <alignment horizontal="center"/>
    </xf>
    <xf numFmtId="165" fontId="23" fillId="4" borderId="17" xfId="0" applyNumberFormat="1" applyFont="1" applyFill="1" applyBorder="1" applyAlignment="1">
      <alignment horizontal="center"/>
    </xf>
    <xf numFmtId="167" fontId="23" fillId="4" borderId="17" xfId="0" applyNumberFormat="1" applyFont="1" applyFill="1" applyBorder="1" applyAlignment="1">
      <alignment horizontal="center"/>
    </xf>
    <xf numFmtId="0" fontId="22" fillId="6" borderId="19" xfId="0" applyFont="1" applyFill="1" applyBorder="1" applyAlignment="1">
      <alignment horizontal="center" vertical="center" wrapText="1"/>
    </xf>
    <xf numFmtId="0" fontId="22" fillId="6" borderId="23" xfId="0" applyFont="1" applyFill="1" applyBorder="1" applyAlignment="1">
      <alignment horizontal="center" vertical="center" wrapText="1"/>
    </xf>
    <xf numFmtId="3" fontId="23" fillId="2" borderId="25" xfId="0" applyNumberFormat="1" applyFont="1" applyFill="1" applyBorder="1" applyAlignment="1">
      <alignment horizontal="center"/>
    </xf>
    <xf numFmtId="3" fontId="23" fillId="2" borderId="26" xfId="0" applyNumberFormat="1" applyFont="1" applyFill="1" applyBorder="1" applyAlignment="1">
      <alignment horizontal="center"/>
    </xf>
    <xf numFmtId="10" fontId="23" fillId="2" borderId="26" xfId="0" applyNumberFormat="1" applyFont="1" applyFill="1" applyBorder="1" applyAlignment="1">
      <alignment horizontal="center"/>
    </xf>
    <xf numFmtId="165" fontId="23" fillId="2" borderId="26" xfId="0" applyNumberFormat="1" applyFont="1" applyFill="1" applyBorder="1" applyAlignment="1">
      <alignment horizontal="center"/>
    </xf>
    <xf numFmtId="168" fontId="23" fillId="2" borderId="26" xfId="0" applyNumberFormat="1" applyFont="1" applyFill="1" applyBorder="1" applyAlignment="1">
      <alignment horizontal="right"/>
    </xf>
    <xf numFmtId="164" fontId="23" fillId="2" borderId="26" xfId="0" applyNumberFormat="1" applyFont="1" applyFill="1" applyBorder="1" applyAlignment="1">
      <alignment horizontal="center"/>
    </xf>
    <xf numFmtId="9" fontId="23" fillId="2" borderId="27" xfId="0" applyNumberFormat="1" applyFont="1" applyFill="1" applyBorder="1" applyAlignment="1">
      <alignment horizontal="center"/>
    </xf>
    <xf numFmtId="0" fontId="26" fillId="7" borderId="0" xfId="0" applyFont="1" applyFill="1"/>
    <xf numFmtId="0" fontId="1" fillId="4" borderId="0" xfId="0" applyFont="1" applyFill="1" applyAlignment="1">
      <alignment horizontal="center" vertical="center"/>
    </xf>
    <xf numFmtId="0" fontId="23" fillId="2" borderId="15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5" fillId="0" borderId="0" xfId="0" applyFont="1" applyAlignment="1">
      <alignment horizontal="right"/>
    </xf>
    <xf numFmtId="0" fontId="17" fillId="2" borderId="0" xfId="0" applyFont="1" applyFill="1" applyAlignment="1">
      <alignment horizontal="center" vertical="center"/>
    </xf>
    <xf numFmtId="0" fontId="22" fillId="6" borderId="1" xfId="0" applyFont="1" applyFill="1" applyBorder="1" applyAlignment="1">
      <alignment horizontal="center" vertical="center" wrapText="1"/>
    </xf>
    <xf numFmtId="165" fontId="23" fillId="4" borderId="16" xfId="0" applyNumberFormat="1" applyFont="1" applyFill="1" applyBorder="1" applyAlignment="1">
      <alignment horizontal="center"/>
    </xf>
    <xf numFmtId="0" fontId="22" fillId="6" borderId="20" xfId="0" applyFont="1" applyFill="1" applyBorder="1" applyAlignment="1">
      <alignment horizontal="center" vertical="center" wrapText="1"/>
    </xf>
    <xf numFmtId="165" fontId="23" fillId="2" borderId="9" xfId="0" applyNumberFormat="1" applyFont="1" applyFill="1" applyBorder="1" applyAlignment="1">
      <alignment horizontal="center"/>
    </xf>
    <xf numFmtId="167" fontId="1" fillId="3" borderId="0" xfId="0" applyNumberFormat="1" applyFont="1" applyFill="1" applyAlignment="1">
      <alignment horizontal="center" vertical="center"/>
    </xf>
    <xf numFmtId="0" fontId="20" fillId="5" borderId="10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5" fontId="10" fillId="4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3" fontId="6" fillId="4" borderId="2" xfId="0" applyNumberFormat="1" applyFont="1" applyFill="1" applyBorder="1" applyAlignment="1">
      <alignment horizontal="center" vertical="center"/>
    </xf>
    <xf numFmtId="3" fontId="6" fillId="4" borderId="3" xfId="0" applyNumberFormat="1" applyFont="1" applyFill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165" fontId="12" fillId="4" borderId="0" xfId="0" applyNumberFormat="1" applyFont="1" applyFill="1" applyAlignment="1">
      <alignment horizontal="center" vertical="center"/>
    </xf>
    <xf numFmtId="10" fontId="1" fillId="3" borderId="0" xfId="0" applyNumberFormat="1" applyFont="1" applyFill="1" applyAlignment="1">
      <alignment horizontal="center" vertical="center"/>
    </xf>
    <xf numFmtId="9" fontId="10" fillId="4" borderId="0" xfId="0" applyNumberFormat="1" applyFont="1" applyFill="1" applyAlignment="1">
      <alignment horizontal="center" vertical="center"/>
    </xf>
    <xf numFmtId="0" fontId="0" fillId="0" borderId="0" xfId="0" applyAlignment="1"/>
    <xf numFmtId="0" fontId="5" fillId="0" borderId="1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5" xfId="0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5" fillId="0" borderId="9" xfId="0" applyFont="1" applyBorder="1" applyAlignment="1"/>
    <xf numFmtId="10" fontId="1" fillId="4" borderId="0" xfId="0" applyNumberFormat="1" applyFont="1" applyFill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2" borderId="0" xfId="0" applyFont="1" applyFill="1" applyAlignment="1"/>
    <xf numFmtId="10" fontId="16" fillId="3" borderId="0" xfId="0" applyNumberFormat="1" applyFont="1" applyFill="1" applyAlignment="1"/>
    <xf numFmtId="0" fontId="5" fillId="0" borderId="11" xfId="0" applyFont="1" applyBorder="1" applyAlignment="1"/>
    <xf numFmtId="0" fontId="5" fillId="0" borderId="13" xfId="0" applyFont="1" applyBorder="1" applyAlignment="1"/>
    <xf numFmtId="0" fontId="5" fillId="0" borderId="14" xfId="0" applyFont="1" applyBorder="1" applyAlignment="1"/>
    <xf numFmtId="0" fontId="5" fillId="0" borderId="16" xfId="0" applyFont="1" applyBorder="1" applyAlignment="1"/>
    <xf numFmtId="0" fontId="5" fillId="0" borderId="17" xfId="0" applyFont="1" applyBorder="1" applyAlignment="1"/>
    <xf numFmtId="0" fontId="5" fillId="0" borderId="21" xfId="0" applyFont="1" applyBorder="1" applyAlignment="1"/>
    <xf numFmtId="0" fontId="5" fillId="0" borderId="22" xfId="0" applyFont="1" applyBorder="1" applyAlignment="1"/>
    <xf numFmtId="0" fontId="5" fillId="0" borderId="24" xfId="0" applyFont="1" applyBorder="1" applyAlignment="1"/>
    <xf numFmtId="0" fontId="5" fillId="0" borderId="2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E0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BUDGET VS. SPEND</a:t>
            </a:r>
          </a:p>
        </c:rich>
      </c:tx>
      <c:overlay val="0"/>
    </c:title>
    <c:autoTitleDeleted val="0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tx>
            <c:strRef>
              <c:f>Dashboard!$L$38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0E0E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Dashboard!$L$39:$L$43</c:f>
              <c:numCache>
                <c:formatCode>"$"#,##0</c:formatCode>
                <c:ptCount val="5"/>
                <c:pt idx="0">
                  <c:v>25000</c:v>
                </c:pt>
                <c:pt idx="1">
                  <c:v>30000</c:v>
                </c:pt>
                <c:pt idx="2">
                  <c:v>50000</c:v>
                </c:pt>
                <c:pt idx="3">
                  <c:v>45000</c:v>
                </c:pt>
                <c:pt idx="4">
                  <c:v>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AFE-4B03-AF35-DCD2A5DD7DF3}"/>
            </c:ext>
          </c:extLst>
        </c:ser>
        <c:ser>
          <c:idx val="1"/>
          <c:order val="1"/>
          <c:tx>
            <c:strRef>
              <c:f>Dashboard!$M$38</c:f>
              <c:strCache>
                <c:ptCount val="1"/>
                <c:pt idx="0">
                  <c:v>SPEND</c:v>
                </c:pt>
              </c:strCache>
            </c:strRef>
          </c:tx>
          <c:spPr>
            <a:solidFill>
              <a:srgbClr val="D0E0E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AFE-4B03-AF35-DCD2A5DD7DF3}"/>
              </c:ext>
            </c:extLst>
          </c:dPt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0AFE-4B03-AF35-DCD2A5DD7DF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rgbClr val="D9EAD3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errBars>
            <c:errBarType val="both"/>
            <c:errValType val="percentage"/>
            <c:noEndCap val="0"/>
            <c:val val="10"/>
          </c:errBars>
          <c:cat>
            <c:strRef>
              <c:f>Dashboard!$D$39:$D$43</c:f>
              <c:strCache>
                <c:ptCount val="5"/>
                <c:pt idx="0">
                  <c:v>CAMPAIGN 1</c:v>
                </c:pt>
                <c:pt idx="1">
                  <c:v>CAMPAIGN 2</c:v>
                </c:pt>
                <c:pt idx="2">
                  <c:v>CAMPAIGN 3</c:v>
                </c:pt>
                <c:pt idx="3">
                  <c:v>CAMPAIGN 4</c:v>
                </c:pt>
                <c:pt idx="4">
                  <c:v>CAMPAIGN 5</c:v>
                </c:pt>
              </c:strCache>
            </c:strRef>
          </c:cat>
          <c:val>
            <c:numRef>
              <c:f>Dashboard!$M$39:$M$43</c:f>
              <c:numCache>
                <c:formatCode>"$"#,##0</c:formatCode>
                <c:ptCount val="5"/>
                <c:pt idx="0">
                  <c:v>23661</c:v>
                </c:pt>
                <c:pt idx="1">
                  <c:v>21882</c:v>
                </c:pt>
                <c:pt idx="2">
                  <c:v>22076</c:v>
                </c:pt>
                <c:pt idx="3">
                  <c:v>57823</c:v>
                </c:pt>
                <c:pt idx="4">
                  <c:v>62484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AFE-4B03-AF35-DCD2A5DD7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55981495"/>
        <c:axId val="817223974"/>
        <c:axId val="0"/>
      </c:bar3DChart>
      <c:catAx>
        <c:axId val="555981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en-US"/>
          </a:p>
        </c:txPr>
        <c:crossAx val="817223974"/>
        <c:crosses val="autoZero"/>
        <c:auto val="1"/>
        <c:lblAlgn val="ctr"/>
        <c:lblOffset val="100"/>
        <c:noMultiLvlLbl val="1"/>
      </c:catAx>
      <c:valAx>
        <c:axId val="817223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D9EAD3"/>
                </a:solidFill>
                <a:latin typeface="+mn-lt"/>
              </a:defRPr>
            </a:pPr>
            <a:endParaRPr lang="en-US"/>
          </a:p>
        </c:txPr>
        <c:crossAx val="5559814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 lvl="0">
              <a:defRPr b="1">
                <a:solidFill>
                  <a:srgbClr val="D0E0E3"/>
                </a:solidFill>
                <a:latin typeface="+mn-lt"/>
              </a:defRPr>
            </a:pPr>
            <a:r>
              <a:rPr lang="en-US" b="1">
                <a:solidFill>
                  <a:srgbClr val="D0E0E3"/>
                </a:solidFill>
                <a:latin typeface="+mn-lt"/>
              </a:rPr>
              <a:t>PRE &amp; POST CAMPAIGN REVENUE</a:t>
            </a:r>
          </a:p>
        </c:rich>
      </c:tx>
      <c:layout>
        <c:manualLayout>
          <c:xMode val="edge"/>
          <c:yMode val="edge"/>
          <c:x val="1.6025641025641024E-2"/>
          <c:y val="3.57076791453742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5123968788234158"/>
          <c:y val="0.19560589310290372"/>
          <c:w val="0.51041532767785081"/>
          <c:h val="0.75611668885228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A17-4A99-81EB-EC03E4485E54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2-CA17-4A99-81EB-EC03E4485E54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0C343D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17-4A99-81EB-EC03E4485E54}"/>
                </c:ext>
              </c:extLst>
            </c:dLbl>
            <c:dLbl>
              <c:idx val="1"/>
              <c:spPr/>
              <c:txPr>
                <a:bodyPr/>
                <a:lstStyle/>
                <a:p>
                  <a:pPr lvl="0">
                    <a:defRPr sz="1200">
                      <a:solidFill>
                        <a:srgbClr val="434343"/>
                      </a:solidFill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A17-4A99-81EB-EC03E4485E5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Dashboard!$Q$45:$R$45</c:f>
              <c:strCache>
                <c:ptCount val="2"/>
                <c:pt idx="0">
                  <c:v>PRE-CAMPAIGN</c:v>
                </c:pt>
                <c:pt idx="1">
                  <c:v>POST- CAMPAIGN</c:v>
                </c:pt>
              </c:strCache>
            </c:strRef>
          </c:cat>
          <c:val>
            <c:numRef>
              <c:f>Dashboard!$Q$46:$R$46</c:f>
              <c:numCache>
                <c:formatCode>"$"#,##0</c:formatCode>
                <c:ptCount val="2"/>
                <c:pt idx="0">
                  <c:v>354000</c:v>
                </c:pt>
                <c:pt idx="1">
                  <c:v>366817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17-4A99-81EB-EC03E4485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25"/>
      </c:doughnutChart>
    </c:plotArea>
    <c:legend>
      <c:legendPos val="t"/>
      <c:overlay val="0"/>
      <c:txPr>
        <a:bodyPr/>
        <a:lstStyle/>
        <a:p>
          <a:pPr lvl="0">
            <a:defRPr b="0">
              <a:solidFill>
                <a:srgbClr val="D0E0E3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9834802228668783"/>
          <c:y val="7.505518763796909E-2"/>
          <c:w val="0.65018998940921846"/>
          <c:h val="0.77831464775512338"/>
        </c:manualLayout>
      </c:layout>
      <c:bar3DChart>
        <c:barDir val="col"/>
        <c:grouping val="clustered"/>
        <c:varyColors val="1"/>
        <c:ser>
          <c:idx val="0"/>
          <c:order val="0"/>
          <c:spPr>
            <a:solidFill>
              <a:srgbClr val="76A5A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D0E0E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AAF-49E4-B926-8C988A854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>
                    <a:solidFill>
                      <a:schemeClr val="accent4">
                        <a:lumMod val="20000"/>
                        <a:lumOff val="80000"/>
                      </a:schemeClr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Dashboard!$L$45:$M$45</c:f>
              <c:strCache>
                <c:ptCount val="2"/>
                <c:pt idx="0">
                  <c:v>BUDGET</c:v>
                </c:pt>
                <c:pt idx="1">
                  <c:v>SPEND</c:v>
                </c:pt>
              </c:strCache>
            </c:strRef>
          </c:cat>
          <c:val>
            <c:numRef>
              <c:f>Dashboard!$L$46:$M$46</c:f>
              <c:numCache>
                <c:formatCode>"$"#,##0</c:formatCode>
                <c:ptCount val="2"/>
                <c:pt idx="0">
                  <c:v>200000</c:v>
                </c:pt>
                <c:pt idx="1">
                  <c:v>187926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AAF-49E4-B926-8C988A854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0837095"/>
        <c:axId val="1315907052"/>
        <c:axId val="0"/>
      </c:bar3DChart>
      <c:catAx>
        <c:axId val="1460837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D0E0E3"/>
                </a:solidFill>
                <a:latin typeface="+mn-lt"/>
              </a:defRPr>
            </a:pPr>
            <a:endParaRPr lang="en-US"/>
          </a:p>
        </c:txPr>
        <c:crossAx val="1315907052"/>
        <c:crosses val="autoZero"/>
        <c:auto val="1"/>
        <c:lblAlgn val="ctr"/>
        <c:lblOffset val="100"/>
        <c:noMultiLvlLbl val="1"/>
      </c:catAx>
      <c:valAx>
        <c:axId val="13159070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&quot;$&quot;#,##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1">
                <a:solidFill>
                  <a:srgbClr val="D0E0E3"/>
                </a:solidFill>
                <a:latin typeface="Roboto"/>
              </a:defRPr>
            </a:pPr>
            <a:endParaRPr lang="en-US"/>
          </a:p>
        </c:txPr>
        <c:crossAx val="1460837095"/>
        <c:crosses val="autoZero"/>
        <c:crossBetween val="between"/>
      </c:valAx>
    </c:plotArea>
    <c:plotVisOnly val="1"/>
    <c:dispBlanksAs val="zero"/>
    <c:showDLblsOverMax val="1"/>
  </c:chart>
  <c:spPr>
    <a:solidFill>
      <a:srgbClr val="134F5C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</xdr:colOff>
      <xdr:row>7</xdr:row>
      <xdr:rowOff>66675</xdr:rowOff>
    </xdr:from>
    <xdr:ext cx="6953250" cy="33242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57150</xdr:colOff>
      <xdr:row>7</xdr:row>
      <xdr:rowOff>66675</xdr:rowOff>
    </xdr:from>
    <xdr:ext cx="4924425" cy="33242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22</xdr:row>
      <xdr:rowOff>123825</xdr:rowOff>
    </xdr:from>
    <xdr:ext cx="2714625" cy="2876550"/>
    <xdr:graphicFrame macro="">
      <xdr:nvGraphicFramePr>
        <xdr:cNvPr id="4" name="Chart 3" titl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template.net/" TargetMode="External"/><Relationship Id="rId1" Type="http://schemas.openxmlformats.org/officeDocument/2006/relationships/hyperlink" Target="https://www.template.net/editable/dashboard-shee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0"/>
  <sheetViews>
    <sheetView showGridLines="0" tabSelected="1" topLeftCell="A10" workbookViewId="0">
      <selection activeCell="P26" sqref="P26"/>
    </sheetView>
  </sheetViews>
  <sheetFormatPr defaultColWidth="12.5703125" defaultRowHeight="15.75" customHeight="1"/>
  <cols>
    <col min="1" max="1" width="3" customWidth="1"/>
    <col min="2" max="3" width="2.42578125" customWidth="1"/>
    <col min="4" max="4" width="17.42578125" customWidth="1"/>
    <col min="5" max="5" width="15.42578125" customWidth="1"/>
    <col min="6" max="6" width="5.85546875" customWidth="1"/>
    <col min="7" max="7" width="2.7109375" customWidth="1"/>
    <col min="8" max="8" width="14.42578125" customWidth="1"/>
    <col min="9" max="9" width="15.28515625" customWidth="1"/>
    <col min="10" max="10" width="16" customWidth="1"/>
    <col min="11" max="11" width="14.42578125" customWidth="1"/>
    <col min="13" max="13" width="17.140625" customWidth="1"/>
    <col min="14" max="14" width="15.85546875" customWidth="1"/>
    <col min="16" max="16" width="14.85546875" customWidth="1"/>
    <col min="17" max="17" width="15.7109375" customWidth="1"/>
    <col min="18" max="18" width="14.140625" customWidth="1"/>
    <col min="19" max="19" width="18.42578125" customWidth="1"/>
    <col min="20" max="20" width="4" customWidth="1"/>
    <col min="21" max="21" width="2.5703125" customWidth="1"/>
    <col min="22" max="22" width="14.140625" customWidth="1"/>
    <col min="23" max="23" width="32" customWidth="1"/>
    <col min="24" max="25" width="2.42578125" customWidth="1"/>
    <col min="26" max="26" width="4.42578125" customWidth="1"/>
  </cols>
  <sheetData>
    <row r="1" spans="1:26" ht="2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1"/>
      <c r="B2" s="2"/>
      <c r="C2" s="2"/>
      <c r="D2" s="2"/>
      <c r="E2" s="2"/>
      <c r="F2" s="2"/>
      <c r="G2" s="2"/>
      <c r="H2" s="3"/>
      <c r="I2" s="4"/>
      <c r="J2" s="5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2"/>
      <c r="W2" s="2"/>
      <c r="X2" s="2"/>
      <c r="Y2" s="2"/>
      <c r="Z2" s="1"/>
    </row>
    <row r="3" spans="1:26" ht="43.5" customHeight="1">
      <c r="A3" s="1"/>
      <c r="B3" s="2"/>
      <c r="C3" s="61" t="s">
        <v>0</v>
      </c>
      <c r="D3" s="75"/>
      <c r="E3" s="75"/>
      <c r="F3" s="75"/>
      <c r="G3" s="2"/>
      <c r="H3" s="62" t="s">
        <v>1</v>
      </c>
      <c r="I3" s="75"/>
      <c r="J3" s="75"/>
      <c r="K3" s="62" t="s">
        <v>2</v>
      </c>
      <c r="L3" s="75"/>
      <c r="M3" s="62" t="s">
        <v>3</v>
      </c>
      <c r="N3" s="75"/>
      <c r="O3" s="75"/>
      <c r="P3" s="62" t="s">
        <v>4</v>
      </c>
      <c r="Q3" s="75"/>
      <c r="R3" s="62" t="s">
        <v>5</v>
      </c>
      <c r="S3" s="75"/>
      <c r="T3" s="6"/>
      <c r="U3" s="63" t="s">
        <v>6</v>
      </c>
      <c r="V3" s="76"/>
      <c r="W3" s="76"/>
      <c r="X3" s="2"/>
      <c r="Y3" s="2"/>
      <c r="Z3" s="1"/>
    </row>
    <row r="4" spans="1:26" ht="21" customHeight="1">
      <c r="A4" s="1"/>
      <c r="B4" s="2"/>
      <c r="C4" s="2"/>
      <c r="D4" s="2"/>
      <c r="E4" s="2"/>
      <c r="F4" s="2"/>
      <c r="G4" s="2"/>
      <c r="H4" s="68">
        <f>H46</f>
        <v>724077</v>
      </c>
      <c r="I4" s="77"/>
      <c r="J4" s="78"/>
      <c r="K4" s="69">
        <f>I46</f>
        <v>195151</v>
      </c>
      <c r="L4" s="78"/>
      <c r="M4" s="70">
        <f>O46</f>
        <v>4.7413607800381161</v>
      </c>
      <c r="N4" s="77"/>
      <c r="O4" s="78"/>
      <c r="P4" s="68">
        <f>K46</f>
        <v>284</v>
      </c>
      <c r="Q4" s="78"/>
      <c r="R4" s="71">
        <f>P46</f>
        <v>3347.4322681612352</v>
      </c>
      <c r="S4" s="78"/>
      <c r="T4" s="7"/>
      <c r="U4" s="67">
        <f ca="1">TODAY()</f>
        <v>46094</v>
      </c>
      <c r="V4" s="75"/>
      <c r="W4" s="75"/>
      <c r="X4" s="2"/>
      <c r="Y4" s="2"/>
      <c r="Z4" s="1"/>
    </row>
    <row r="5" spans="1:26" ht="21" customHeight="1">
      <c r="A5" s="1"/>
      <c r="B5" s="2"/>
      <c r="C5" s="8"/>
      <c r="D5" s="64" t="s">
        <v>7</v>
      </c>
      <c r="E5" s="75"/>
      <c r="F5" s="10"/>
      <c r="G5" s="11"/>
      <c r="H5" s="79"/>
      <c r="I5" s="75"/>
      <c r="J5" s="80"/>
      <c r="K5" s="75"/>
      <c r="L5" s="80"/>
      <c r="M5" s="79"/>
      <c r="N5" s="75"/>
      <c r="O5" s="80"/>
      <c r="P5" s="79"/>
      <c r="Q5" s="80"/>
      <c r="R5" s="79"/>
      <c r="S5" s="80"/>
      <c r="T5" s="7"/>
      <c r="U5" s="75"/>
      <c r="V5" s="75"/>
      <c r="W5" s="75"/>
      <c r="X5" s="2"/>
      <c r="Y5" s="2"/>
      <c r="Z5" s="1"/>
    </row>
    <row r="6" spans="1:26" ht="21" customHeight="1">
      <c r="A6" s="1"/>
      <c r="B6" s="2"/>
      <c r="C6" s="8"/>
      <c r="D6" s="76"/>
      <c r="E6" s="76"/>
      <c r="F6" s="10"/>
      <c r="G6" s="11"/>
      <c r="H6" s="81"/>
      <c r="I6" s="76"/>
      <c r="J6" s="82"/>
      <c r="K6" s="76"/>
      <c r="L6" s="82"/>
      <c r="M6" s="81"/>
      <c r="N6" s="76"/>
      <c r="O6" s="82"/>
      <c r="P6" s="81"/>
      <c r="Q6" s="82"/>
      <c r="R6" s="81"/>
      <c r="S6" s="82"/>
      <c r="T6" s="7"/>
      <c r="U6" s="75"/>
      <c r="V6" s="75"/>
      <c r="W6" s="75"/>
      <c r="X6" s="2"/>
      <c r="Y6" s="2"/>
      <c r="Z6" s="1"/>
    </row>
    <row r="7" spans="1:26" ht="21" customHeight="1">
      <c r="A7" s="1"/>
      <c r="B7" s="2"/>
      <c r="C7" s="65">
        <f>L46</f>
        <v>200000</v>
      </c>
      <c r="D7" s="75"/>
      <c r="E7" s="75"/>
      <c r="F7" s="75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75"/>
      <c r="V7" s="75"/>
      <c r="W7" s="75"/>
      <c r="X7" s="2"/>
      <c r="Y7" s="2"/>
      <c r="Z7" s="1"/>
    </row>
    <row r="8" spans="1:26" ht="21" customHeight="1">
      <c r="A8" s="1"/>
      <c r="B8" s="2"/>
      <c r="C8" s="75"/>
      <c r="D8" s="75"/>
      <c r="E8" s="75"/>
      <c r="F8" s="75"/>
      <c r="G8" s="1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75"/>
      <c r="V8" s="75"/>
      <c r="W8" s="75"/>
      <c r="X8" s="2"/>
      <c r="Y8" s="2"/>
      <c r="Z8" s="1"/>
    </row>
    <row r="9" spans="1:26" ht="21" customHeight="1">
      <c r="A9" s="1"/>
      <c r="B9" s="2"/>
      <c r="C9" s="75"/>
      <c r="D9" s="75"/>
      <c r="E9" s="75"/>
      <c r="F9" s="75"/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75"/>
      <c r="V9" s="75"/>
      <c r="W9" s="75"/>
      <c r="X9" s="2"/>
      <c r="Y9" s="2"/>
      <c r="Z9" s="1"/>
    </row>
    <row r="10" spans="1:26" ht="21" customHeight="1">
      <c r="A10" s="1"/>
      <c r="B10" s="2"/>
      <c r="C10" s="8"/>
      <c r="D10" s="13"/>
      <c r="E10" s="13"/>
      <c r="F10" s="13"/>
      <c r="G10" s="4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3"/>
      <c r="V10" s="3"/>
      <c r="W10" s="3"/>
      <c r="X10" s="2"/>
      <c r="Y10" s="2"/>
      <c r="Z10" s="1"/>
    </row>
    <row r="11" spans="1:26" ht="21" customHeight="1">
      <c r="A11" s="1"/>
      <c r="B11" s="2"/>
      <c r="C11" s="8"/>
      <c r="D11" s="64" t="s">
        <v>8</v>
      </c>
      <c r="E11" s="75"/>
      <c r="F11" s="10"/>
      <c r="G11" s="11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3"/>
      <c r="V11" s="3"/>
      <c r="W11" s="3"/>
      <c r="X11" s="2"/>
      <c r="Y11" s="2"/>
      <c r="Z11" s="1"/>
    </row>
    <row r="12" spans="1:26" ht="21" customHeight="1">
      <c r="A12" s="1"/>
      <c r="B12" s="2"/>
      <c r="C12" s="8"/>
      <c r="D12" s="76"/>
      <c r="E12" s="76"/>
      <c r="F12" s="10"/>
      <c r="G12" s="1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3"/>
      <c r="V12" s="3"/>
      <c r="W12" s="3"/>
      <c r="X12" s="2"/>
      <c r="Y12" s="2"/>
      <c r="Z12" s="1"/>
    </row>
    <row r="13" spans="1:26" ht="21" customHeight="1">
      <c r="A13" s="1"/>
      <c r="B13" s="2"/>
      <c r="C13" s="65">
        <f>M46</f>
        <v>187926</v>
      </c>
      <c r="D13" s="75"/>
      <c r="E13" s="75"/>
      <c r="F13" s="75"/>
      <c r="G13" s="1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14"/>
      <c r="V13" s="64" t="s">
        <v>9</v>
      </c>
      <c r="W13" s="75"/>
      <c r="X13" s="8"/>
      <c r="Y13" s="2"/>
      <c r="Z13" s="1"/>
    </row>
    <row r="14" spans="1:26" ht="23.25" customHeight="1">
      <c r="A14" s="1"/>
      <c r="B14" s="2"/>
      <c r="C14" s="75"/>
      <c r="D14" s="75"/>
      <c r="E14" s="75"/>
      <c r="F14" s="75"/>
      <c r="G14" s="1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9"/>
      <c r="V14" s="76"/>
      <c r="W14" s="76"/>
      <c r="X14" s="8"/>
      <c r="Y14" s="2"/>
      <c r="Z14" s="1"/>
    </row>
    <row r="15" spans="1:26" ht="21" customHeight="1">
      <c r="A15" s="1"/>
      <c r="B15" s="2"/>
      <c r="C15" s="75"/>
      <c r="D15" s="75"/>
      <c r="E15" s="75"/>
      <c r="F15" s="75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14"/>
      <c r="V15" s="15"/>
      <c r="W15" s="15"/>
      <c r="X15" s="8"/>
      <c r="Y15" s="2"/>
      <c r="Z15" s="1"/>
    </row>
    <row r="16" spans="1:26" ht="21" customHeight="1">
      <c r="A16" s="1"/>
      <c r="B16" s="2"/>
      <c r="C16" s="8"/>
      <c r="D16" s="16"/>
      <c r="E16" s="16"/>
      <c r="F16" s="16"/>
      <c r="G16" s="5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5"/>
      <c r="V16" s="65">
        <f>S46</f>
        <v>12817</v>
      </c>
      <c r="W16" s="75"/>
      <c r="X16" s="8"/>
      <c r="Y16" s="2"/>
      <c r="Z16" s="1"/>
    </row>
    <row r="17" spans="1:26" ht="21" customHeight="1">
      <c r="A17" s="1"/>
      <c r="B17" s="2"/>
      <c r="C17" s="8"/>
      <c r="D17" s="64" t="s">
        <v>10</v>
      </c>
      <c r="E17" s="75"/>
      <c r="F17" s="10"/>
      <c r="G17" s="11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5"/>
      <c r="V17" s="75"/>
      <c r="W17" s="75"/>
      <c r="X17" s="8"/>
      <c r="Y17" s="2"/>
      <c r="Z17" s="1"/>
    </row>
    <row r="18" spans="1:26" ht="21" customHeight="1">
      <c r="A18" s="1"/>
      <c r="B18" s="2"/>
      <c r="C18" s="8"/>
      <c r="D18" s="76"/>
      <c r="E18" s="76"/>
      <c r="F18" s="10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8"/>
      <c r="V18" s="75"/>
      <c r="W18" s="75"/>
      <c r="X18" s="8"/>
      <c r="Y18" s="2"/>
      <c r="Z18" s="1"/>
    </row>
    <row r="19" spans="1:26" ht="21" customHeight="1">
      <c r="A19" s="1"/>
      <c r="B19" s="2"/>
      <c r="C19" s="72">
        <f>N46</f>
        <v>-12074</v>
      </c>
      <c r="D19" s="75"/>
      <c r="E19" s="75"/>
      <c r="F19" s="75"/>
      <c r="G19" s="17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9"/>
      <c r="V19" s="64" t="s">
        <v>11</v>
      </c>
      <c r="W19" s="75"/>
      <c r="X19" s="9"/>
      <c r="Y19" s="2"/>
      <c r="Z19" s="1"/>
    </row>
    <row r="20" spans="1:26" ht="21" customHeight="1">
      <c r="A20" s="1"/>
      <c r="B20" s="2"/>
      <c r="C20" s="75"/>
      <c r="D20" s="75"/>
      <c r="E20" s="75"/>
      <c r="F20" s="75"/>
      <c r="G20" s="17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9"/>
      <c r="V20" s="76"/>
      <c r="W20" s="76"/>
      <c r="X20" s="9"/>
      <c r="Y20" s="2"/>
      <c r="Z20" s="1"/>
    </row>
    <row r="21" spans="1:26" ht="21" customHeight="1">
      <c r="A21" s="1"/>
      <c r="B21" s="2"/>
      <c r="C21" s="75"/>
      <c r="D21" s="75"/>
      <c r="E21" s="75"/>
      <c r="F21" s="75"/>
      <c r="G21" s="17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"/>
      <c r="V21" s="65">
        <f>T46</f>
        <v>178891</v>
      </c>
      <c r="W21" s="75"/>
      <c r="X21" s="8"/>
      <c r="Y21" s="2"/>
      <c r="Z21" s="1"/>
    </row>
    <row r="22" spans="1:26" ht="21" customHeight="1">
      <c r="A22" s="1"/>
      <c r="B22" s="2"/>
      <c r="C22" s="8"/>
      <c r="D22" s="8"/>
      <c r="E22" s="8"/>
      <c r="F22" s="8"/>
      <c r="G22" s="2"/>
      <c r="H22" s="66" t="s">
        <v>12</v>
      </c>
      <c r="I22" s="75"/>
      <c r="J22" s="75"/>
      <c r="K22" s="75"/>
      <c r="L22" s="66" t="s">
        <v>13</v>
      </c>
      <c r="M22" s="75"/>
      <c r="N22" s="75"/>
      <c r="O22" s="75"/>
      <c r="P22" s="66" t="s">
        <v>14</v>
      </c>
      <c r="Q22" s="75"/>
      <c r="R22" s="75"/>
      <c r="S22" s="75"/>
      <c r="T22" s="3"/>
      <c r="U22" s="19"/>
      <c r="V22" s="75"/>
      <c r="W22" s="75"/>
      <c r="X22" s="8"/>
      <c r="Y22" s="2"/>
      <c r="Z22" s="1"/>
    </row>
    <row r="23" spans="1:26" ht="21" customHeight="1">
      <c r="A23" s="1"/>
      <c r="B23" s="2"/>
      <c r="C23" s="2"/>
      <c r="D23" s="2"/>
      <c r="E23" s="2"/>
      <c r="F23" s="2"/>
      <c r="G23" s="2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3"/>
      <c r="U23" s="19"/>
      <c r="V23" s="75"/>
      <c r="W23" s="75"/>
      <c r="X23" s="8"/>
      <c r="Y23" s="2"/>
      <c r="Z23" s="1"/>
    </row>
    <row r="24" spans="1:26" ht="21" customHeight="1">
      <c r="A24" s="1"/>
      <c r="B24" s="2"/>
      <c r="C24" s="2"/>
      <c r="D24" s="2"/>
      <c r="E24" s="2"/>
      <c r="F24" s="2"/>
      <c r="G24" s="2"/>
      <c r="H24" s="20"/>
      <c r="I24" s="49" t="s">
        <v>15</v>
      </c>
      <c r="J24" s="75"/>
      <c r="K24" s="21"/>
      <c r="L24" s="8"/>
      <c r="M24" s="49" t="s">
        <v>15</v>
      </c>
      <c r="N24" s="75"/>
      <c r="O24" s="21"/>
      <c r="P24" s="8"/>
      <c r="Q24" s="49" t="s">
        <v>15</v>
      </c>
      <c r="R24" s="75"/>
      <c r="S24" s="8"/>
      <c r="T24" s="3"/>
      <c r="U24" s="14"/>
      <c r="V24" s="64" t="s">
        <v>16</v>
      </c>
      <c r="W24" s="75"/>
      <c r="X24" s="8"/>
      <c r="Y24" s="2"/>
      <c r="Z24" s="1"/>
    </row>
    <row r="25" spans="1:26" ht="21" customHeight="1">
      <c r="A25" s="1"/>
      <c r="B25" s="2"/>
      <c r="C25" s="2"/>
      <c r="D25" s="3"/>
      <c r="E25" s="3"/>
      <c r="F25" s="3"/>
      <c r="G25" s="3"/>
      <c r="H25" s="84">
        <f>J39</f>
        <v>0.33506331067306677</v>
      </c>
      <c r="I25" s="73">
        <f>H25</f>
        <v>0.33506331067306677</v>
      </c>
      <c r="J25" s="75"/>
      <c r="K25" s="21"/>
      <c r="L25" s="22">
        <f>O39/O46</f>
        <v>0.12096619729712181</v>
      </c>
      <c r="M25" s="73">
        <f>L25</f>
        <v>0.12096619729712181</v>
      </c>
      <c r="N25" s="75"/>
      <c r="O25" s="21"/>
      <c r="P25" s="23">
        <f>P39/P46</f>
        <v>0.11219687165701256</v>
      </c>
      <c r="Q25" s="58">
        <f>P25</f>
        <v>0.11219687165701256</v>
      </c>
      <c r="R25" s="75"/>
      <c r="S25" s="8"/>
      <c r="T25" s="3"/>
      <c r="U25" s="9"/>
      <c r="V25" s="76"/>
      <c r="W25" s="76"/>
      <c r="X25" s="8"/>
      <c r="Y25" s="2"/>
      <c r="Z25" s="1"/>
    </row>
    <row r="26" spans="1:26" ht="21" customHeight="1">
      <c r="A26" s="1"/>
      <c r="B26" s="2"/>
      <c r="C26" s="2"/>
      <c r="D26" s="3"/>
      <c r="E26" s="3"/>
      <c r="F26" s="3"/>
      <c r="G26" s="3"/>
      <c r="H26" s="85"/>
      <c r="I26" s="49" t="s">
        <v>17</v>
      </c>
      <c r="J26" s="75"/>
      <c r="K26" s="21"/>
      <c r="L26" s="8"/>
      <c r="M26" s="49" t="s">
        <v>17</v>
      </c>
      <c r="N26" s="75"/>
      <c r="O26" s="21"/>
      <c r="P26" s="23"/>
      <c r="Q26" s="49" t="s">
        <v>17</v>
      </c>
      <c r="R26" s="75"/>
      <c r="S26" s="8"/>
      <c r="T26" s="3"/>
      <c r="U26" s="14"/>
      <c r="V26" s="14"/>
      <c r="W26" s="14"/>
      <c r="X26" s="8"/>
      <c r="Y26" s="2"/>
      <c r="Z26" s="1"/>
    </row>
    <row r="27" spans="1:26" ht="21" customHeight="1">
      <c r="A27" s="1"/>
      <c r="B27" s="2"/>
      <c r="C27" s="2"/>
      <c r="D27" s="86"/>
      <c r="E27" s="75"/>
      <c r="F27" s="2"/>
      <c r="G27" s="2"/>
      <c r="H27" s="84">
        <f>J40</f>
        <v>0.881313239123938</v>
      </c>
      <c r="I27" s="87">
        <f>H27</f>
        <v>0.881313239123938</v>
      </c>
      <c r="J27" s="75"/>
      <c r="K27" s="21"/>
      <c r="L27" s="22">
        <f>O40/O46</f>
        <v>0.22356880124853898</v>
      </c>
      <c r="M27" s="73">
        <f>L27</f>
        <v>0.22356880124853898</v>
      </c>
      <c r="N27" s="75"/>
      <c r="O27" s="21"/>
      <c r="P27" s="23">
        <f>P40/P46</f>
        <v>0.23346252810942839</v>
      </c>
      <c r="Q27" s="58">
        <f>P27</f>
        <v>0.23346252810942839</v>
      </c>
      <c r="R27" s="75"/>
      <c r="S27" s="8"/>
      <c r="T27" s="3"/>
      <c r="U27" s="14"/>
      <c r="V27" s="74">
        <f>W46</f>
        <v>0.95192256526505115</v>
      </c>
      <c r="W27" s="75"/>
      <c r="X27" s="8"/>
      <c r="Y27" s="2"/>
      <c r="Z27" s="1"/>
    </row>
    <row r="28" spans="1:26" ht="21" customHeight="1">
      <c r="A28" s="1"/>
      <c r="B28" s="2"/>
      <c r="C28" s="2"/>
      <c r="D28" s="75"/>
      <c r="E28" s="75"/>
      <c r="F28" s="2"/>
      <c r="G28" s="2"/>
      <c r="H28" s="85"/>
      <c r="I28" s="49" t="s">
        <v>18</v>
      </c>
      <c r="J28" s="75"/>
      <c r="K28" s="21"/>
      <c r="L28" s="22"/>
      <c r="M28" s="49" t="s">
        <v>18</v>
      </c>
      <c r="N28" s="75"/>
      <c r="O28" s="21"/>
      <c r="P28" s="23"/>
      <c r="Q28" s="49" t="s">
        <v>18</v>
      </c>
      <c r="R28" s="75"/>
      <c r="S28" s="8"/>
      <c r="T28" s="3"/>
      <c r="U28" s="15"/>
      <c r="V28" s="75"/>
      <c r="W28" s="75"/>
      <c r="X28" s="8"/>
      <c r="Y28" s="2"/>
      <c r="Z28" s="1"/>
    </row>
    <row r="29" spans="1:26" ht="21" customHeight="1">
      <c r="A29" s="1"/>
      <c r="B29" s="2"/>
      <c r="C29" s="2"/>
      <c r="D29" s="75"/>
      <c r="E29" s="75"/>
      <c r="F29" s="2"/>
      <c r="G29" s="2"/>
      <c r="H29" s="84">
        <f>J41</f>
        <v>0.22068772068772069</v>
      </c>
      <c r="I29" s="87">
        <f>H29</f>
        <v>0.22068772068772069</v>
      </c>
      <c r="J29" s="75"/>
      <c r="K29" s="21"/>
      <c r="L29" s="22">
        <f>O41/O46</f>
        <v>0.17405784253160098</v>
      </c>
      <c r="M29" s="73">
        <f>L29</f>
        <v>0.17405784253160098</v>
      </c>
      <c r="N29" s="75"/>
      <c r="O29" s="21"/>
      <c r="P29" s="23">
        <f>P41/P46</f>
        <v>0.16085135747526619</v>
      </c>
      <c r="Q29" s="58">
        <f>P29</f>
        <v>0.16085135747526619</v>
      </c>
      <c r="R29" s="75"/>
      <c r="S29" s="8"/>
      <c r="T29" s="3"/>
      <c r="U29" s="15"/>
      <c r="V29" s="75"/>
      <c r="W29" s="75"/>
      <c r="X29" s="8"/>
      <c r="Y29" s="2"/>
      <c r="Z29" s="1"/>
    </row>
    <row r="30" spans="1:26" ht="21" customHeight="1">
      <c r="A30" s="1"/>
      <c r="B30" s="2"/>
      <c r="C30" s="2"/>
      <c r="D30" s="2"/>
      <c r="E30" s="2"/>
      <c r="F30" s="2"/>
      <c r="G30" s="2"/>
      <c r="H30" s="85"/>
      <c r="I30" s="49" t="s">
        <v>19</v>
      </c>
      <c r="J30" s="75"/>
      <c r="K30" s="21"/>
      <c r="L30" s="22"/>
      <c r="M30" s="49" t="s">
        <v>19</v>
      </c>
      <c r="N30" s="75"/>
      <c r="O30" s="21"/>
      <c r="P30" s="23"/>
      <c r="Q30" s="49" t="s">
        <v>19</v>
      </c>
      <c r="R30" s="75"/>
      <c r="S30" s="8"/>
      <c r="T30" s="3"/>
      <c r="U30" s="14"/>
      <c r="V30" s="18"/>
      <c r="W30" s="18"/>
      <c r="X30" s="8"/>
      <c r="Y30" s="2"/>
      <c r="Z30" s="1"/>
    </row>
    <row r="31" spans="1:26" ht="21" customHeight="1">
      <c r="A31" s="1"/>
      <c r="B31" s="2"/>
      <c r="C31" s="2"/>
      <c r="D31" s="2"/>
      <c r="E31" s="2"/>
      <c r="F31" s="2"/>
      <c r="G31" s="2"/>
      <c r="H31" s="84">
        <f>J42</f>
        <v>0.46752935058701173</v>
      </c>
      <c r="I31" s="87">
        <f>H31</f>
        <v>0.46752935058701173</v>
      </c>
      <c r="J31" s="75"/>
      <c r="K31" s="21"/>
      <c r="L31" s="22">
        <f>O42/O46</f>
        <v>0.26085395332808015</v>
      </c>
      <c r="M31" s="73">
        <f>L31</f>
        <v>0.26085395332808015</v>
      </c>
      <c r="N31" s="75"/>
      <c r="O31" s="21"/>
      <c r="P31" s="23">
        <f>P42/P46</f>
        <v>0.29277690150127367</v>
      </c>
      <c r="Q31" s="58">
        <f>P31</f>
        <v>0.29277690150127367</v>
      </c>
      <c r="R31" s="75"/>
      <c r="S31" s="8"/>
      <c r="T31" s="3"/>
      <c r="U31" s="3"/>
      <c r="V31" s="24"/>
      <c r="W31" s="24"/>
      <c r="X31" s="2"/>
      <c r="Y31" s="2"/>
      <c r="Z31" s="1"/>
    </row>
    <row r="32" spans="1:26" ht="21" customHeight="1">
      <c r="A32" s="1"/>
      <c r="B32" s="2"/>
      <c r="C32" s="2"/>
      <c r="D32" s="2"/>
      <c r="E32" s="2"/>
      <c r="F32" s="2"/>
      <c r="G32" s="2"/>
      <c r="H32" s="85"/>
      <c r="I32" s="49" t="s">
        <v>20</v>
      </c>
      <c r="J32" s="75"/>
      <c r="K32" s="21"/>
      <c r="L32" s="22"/>
      <c r="M32" s="49" t="s">
        <v>20</v>
      </c>
      <c r="N32" s="75"/>
      <c r="O32" s="21"/>
      <c r="P32" s="23"/>
      <c r="Q32" s="49" t="s">
        <v>20</v>
      </c>
      <c r="R32" s="75"/>
      <c r="S32" s="8"/>
      <c r="T32" s="3"/>
      <c r="U32" s="3"/>
      <c r="V32" s="25"/>
      <c r="W32" s="2"/>
      <c r="X32" s="2"/>
      <c r="Y32" s="2"/>
      <c r="Z32" s="1"/>
    </row>
    <row r="33" spans="1:26" ht="21" customHeight="1">
      <c r="A33" s="1"/>
      <c r="B33" s="2"/>
      <c r="C33" s="2"/>
      <c r="D33" s="2"/>
      <c r="E33" s="2"/>
      <c r="F33" s="2"/>
      <c r="G33" s="2"/>
      <c r="H33" s="84">
        <f>J43</f>
        <v>0.1676914916606094</v>
      </c>
      <c r="I33" s="87">
        <f>H33</f>
        <v>0.1676914916606094</v>
      </c>
      <c r="J33" s="75"/>
      <c r="K33" s="21"/>
      <c r="L33" s="22">
        <f>O43/O46</f>
        <v>0.22055320559465813</v>
      </c>
      <c r="M33" s="73">
        <f>L33</f>
        <v>0.22055320559465813</v>
      </c>
      <c r="N33" s="75"/>
      <c r="O33" s="21"/>
      <c r="P33" s="23">
        <f>P43/P46</f>
        <v>0.20071234125701914</v>
      </c>
      <c r="Q33" s="58">
        <f>P33</f>
        <v>0.20071234125701914</v>
      </c>
      <c r="R33" s="75"/>
      <c r="S33" s="8"/>
      <c r="T33" s="3"/>
      <c r="U33" s="3"/>
      <c r="V33" s="24"/>
      <c r="W33" s="2"/>
      <c r="X33" s="2"/>
      <c r="Y33" s="2"/>
      <c r="Z33" s="1"/>
    </row>
    <row r="34" spans="1:26" ht="21" customHeight="1">
      <c r="A34" s="1"/>
      <c r="B34" s="2"/>
      <c r="C34" s="2"/>
      <c r="D34" s="2"/>
      <c r="E34" s="2"/>
      <c r="F34" s="2"/>
      <c r="G34" s="2"/>
      <c r="H34" s="8"/>
      <c r="I34" s="8"/>
      <c r="J34" s="8"/>
      <c r="K34" s="21"/>
      <c r="L34" s="8"/>
      <c r="M34" s="8"/>
      <c r="N34" s="8"/>
      <c r="O34" s="21"/>
      <c r="P34" s="8"/>
      <c r="Q34" s="8"/>
      <c r="R34" s="8"/>
      <c r="S34" s="8"/>
      <c r="T34" s="3"/>
      <c r="U34" s="3"/>
      <c r="V34" s="24"/>
      <c r="W34" s="2"/>
      <c r="X34" s="2"/>
      <c r="Y34" s="2"/>
      <c r="Z34" s="1"/>
    </row>
    <row r="35" spans="1:26" ht="21" customHeight="1">
      <c r="A35" s="1"/>
      <c r="B35" s="2"/>
      <c r="C35" s="2"/>
      <c r="D35" s="53"/>
      <c r="E35" s="75"/>
      <c r="F35" s="75"/>
      <c r="G35" s="75"/>
      <c r="H35" s="3"/>
      <c r="I35" s="3"/>
      <c r="J35" s="3"/>
      <c r="K35" s="3"/>
      <c r="L35" s="2"/>
      <c r="M35" s="3"/>
      <c r="N35" s="3"/>
      <c r="O35" s="3"/>
      <c r="P35" s="3"/>
      <c r="Q35" s="26"/>
      <c r="R35" s="3"/>
      <c r="S35" s="3"/>
      <c r="T35" s="3"/>
      <c r="U35" s="3"/>
      <c r="V35" s="3"/>
      <c r="W35" s="27"/>
      <c r="X35" s="2"/>
      <c r="Y35" s="2"/>
      <c r="Z35" s="1"/>
    </row>
    <row r="36" spans="1:26" ht="21" customHeight="1">
      <c r="A36" s="1"/>
      <c r="B36" s="2"/>
      <c r="C36" s="2"/>
      <c r="D36" s="75"/>
      <c r="E36" s="75"/>
      <c r="F36" s="75"/>
      <c r="G36" s="75"/>
      <c r="H36" s="3"/>
      <c r="I36" s="3"/>
      <c r="J36" s="3"/>
      <c r="K36" s="3"/>
      <c r="L36" s="2"/>
      <c r="M36" s="3"/>
      <c r="N36" s="3"/>
      <c r="O36" s="3"/>
      <c r="P36" s="3"/>
      <c r="Q36" s="26"/>
      <c r="R36" s="3"/>
      <c r="S36" s="3"/>
      <c r="T36" s="3"/>
      <c r="U36" s="3"/>
      <c r="V36" s="3"/>
      <c r="W36" s="27"/>
      <c r="X36" s="2"/>
      <c r="Y36" s="2"/>
      <c r="Z36" s="1"/>
    </row>
    <row r="37" spans="1:26" ht="32.25" customHeight="1">
      <c r="A37" s="1"/>
      <c r="B37" s="2"/>
      <c r="C37" s="2"/>
      <c r="D37" s="75"/>
      <c r="E37" s="75"/>
      <c r="F37" s="75"/>
      <c r="G37" s="75"/>
      <c r="H37" s="2"/>
      <c r="I37" s="2"/>
      <c r="J37" s="2"/>
      <c r="K37" s="2"/>
      <c r="L37" s="2"/>
      <c r="M37" s="2"/>
      <c r="N37" s="2"/>
      <c r="O37" s="2"/>
      <c r="P37" s="2"/>
      <c r="Q37" s="59" t="s">
        <v>21</v>
      </c>
      <c r="R37" s="88"/>
      <c r="S37" s="28" t="s">
        <v>22</v>
      </c>
      <c r="T37" s="60" t="s">
        <v>23</v>
      </c>
      <c r="U37" s="89"/>
      <c r="V37" s="90"/>
      <c r="W37" s="29" t="s">
        <v>24</v>
      </c>
      <c r="X37" s="2"/>
      <c r="Y37" s="2"/>
      <c r="Z37" s="1"/>
    </row>
    <row r="38" spans="1:26" ht="50.25" customHeight="1">
      <c r="A38" s="1"/>
      <c r="B38" s="2"/>
      <c r="C38" s="2"/>
      <c r="D38" s="54" t="s">
        <v>25</v>
      </c>
      <c r="E38" s="76"/>
      <c r="F38" s="76"/>
      <c r="G38" s="76"/>
      <c r="H38" s="30" t="s">
        <v>1</v>
      </c>
      <c r="I38" s="30" t="s">
        <v>2</v>
      </c>
      <c r="J38" s="30" t="s">
        <v>26</v>
      </c>
      <c r="K38" s="30" t="s">
        <v>4</v>
      </c>
      <c r="L38" s="30" t="s">
        <v>27</v>
      </c>
      <c r="M38" s="30" t="s">
        <v>28</v>
      </c>
      <c r="N38" s="30" t="s">
        <v>29</v>
      </c>
      <c r="O38" s="30" t="s">
        <v>30</v>
      </c>
      <c r="P38" s="30" t="s">
        <v>5</v>
      </c>
      <c r="Q38" s="30" t="s">
        <v>31</v>
      </c>
      <c r="R38" s="30" t="s">
        <v>32</v>
      </c>
      <c r="S38" s="30" t="s">
        <v>9</v>
      </c>
      <c r="T38" s="54" t="s">
        <v>33</v>
      </c>
      <c r="U38" s="76"/>
      <c r="V38" s="76"/>
      <c r="W38" s="30" t="s">
        <v>34</v>
      </c>
      <c r="X38" s="2"/>
      <c r="Y38" s="2"/>
      <c r="Z38" s="1"/>
    </row>
    <row r="39" spans="1:26" ht="21" customHeight="1">
      <c r="A39" s="1"/>
      <c r="B39" s="2"/>
      <c r="C39" s="2"/>
      <c r="D39" s="50" t="s">
        <v>15</v>
      </c>
      <c r="E39" s="91"/>
      <c r="F39" s="91"/>
      <c r="G39" s="92"/>
      <c r="H39" s="31">
        <v>123123</v>
      </c>
      <c r="I39" s="31">
        <v>41254</v>
      </c>
      <c r="J39" s="32">
        <f t="shared" ref="J39:J43" si="0">IFERROR(I39/H39,"0")</f>
        <v>0.33506331067306677</v>
      </c>
      <c r="K39" s="33">
        <v>63</v>
      </c>
      <c r="L39" s="34">
        <v>25000</v>
      </c>
      <c r="M39" s="34">
        <v>23661</v>
      </c>
      <c r="N39" s="35">
        <f t="shared" ref="N39:N43" si="1">M39-L39</f>
        <v>-1339</v>
      </c>
      <c r="O39" s="36">
        <f t="shared" ref="O39:O43" si="2">IFERROR(M39/I39,"0")</f>
        <v>0.5735443835749261</v>
      </c>
      <c r="P39" s="37">
        <f t="shared" ref="P39:P43" si="3">IFERROR(M39/K39,"0")</f>
        <v>375.57142857142856</v>
      </c>
      <c r="Q39" s="34">
        <v>50000</v>
      </c>
      <c r="R39" s="34">
        <v>49789</v>
      </c>
      <c r="S39" s="35">
        <f t="shared" ref="S39:S43" si="4">R39-Q39</f>
        <v>-211</v>
      </c>
      <c r="T39" s="55">
        <f t="shared" ref="T39:T43" si="5">IFERROR(R39-M39,"0")</f>
        <v>26128</v>
      </c>
      <c r="U39" s="91"/>
      <c r="V39" s="92"/>
      <c r="W39" s="38">
        <f t="shared" ref="W39:W43" si="6">IFERROR(T39/M39,0)</f>
        <v>1.1042644013355309</v>
      </c>
      <c r="X39" s="2"/>
      <c r="Y39" s="2"/>
      <c r="Z39" s="1"/>
    </row>
    <row r="40" spans="1:26" ht="21" customHeight="1">
      <c r="A40" s="1"/>
      <c r="B40" s="2"/>
      <c r="C40" s="2"/>
      <c r="D40" s="50" t="s">
        <v>17</v>
      </c>
      <c r="E40" s="91"/>
      <c r="F40" s="91"/>
      <c r="G40" s="92"/>
      <c r="H40" s="31">
        <v>23423</v>
      </c>
      <c r="I40" s="31">
        <v>20643</v>
      </c>
      <c r="J40" s="32">
        <f t="shared" si="0"/>
        <v>0.881313239123938</v>
      </c>
      <c r="K40" s="33">
        <v>28</v>
      </c>
      <c r="L40" s="34">
        <v>30000</v>
      </c>
      <c r="M40" s="34">
        <v>21882</v>
      </c>
      <c r="N40" s="35">
        <f t="shared" si="1"/>
        <v>-8118</v>
      </c>
      <c r="O40" s="36">
        <f t="shared" si="2"/>
        <v>1.0600203458799593</v>
      </c>
      <c r="P40" s="37">
        <f t="shared" si="3"/>
        <v>781.5</v>
      </c>
      <c r="Q40" s="34">
        <v>60000</v>
      </c>
      <c r="R40" s="34">
        <v>62009</v>
      </c>
      <c r="S40" s="35">
        <f t="shared" si="4"/>
        <v>2009</v>
      </c>
      <c r="T40" s="55">
        <f t="shared" si="5"/>
        <v>40127</v>
      </c>
      <c r="U40" s="91"/>
      <c r="V40" s="92"/>
      <c r="W40" s="38">
        <f t="shared" si="6"/>
        <v>1.8337903299515583</v>
      </c>
      <c r="X40" s="2"/>
      <c r="Y40" s="2"/>
      <c r="Z40" s="1"/>
    </row>
    <row r="41" spans="1:26" ht="21" customHeight="1">
      <c r="A41" s="1"/>
      <c r="B41" s="2"/>
      <c r="C41" s="2"/>
      <c r="D41" s="50" t="s">
        <v>18</v>
      </c>
      <c r="E41" s="91"/>
      <c r="F41" s="91"/>
      <c r="G41" s="92"/>
      <c r="H41" s="31">
        <v>121212</v>
      </c>
      <c r="I41" s="31">
        <v>26750</v>
      </c>
      <c r="J41" s="32">
        <f t="shared" si="0"/>
        <v>0.22068772068772069</v>
      </c>
      <c r="K41" s="33">
        <v>41</v>
      </c>
      <c r="L41" s="34">
        <v>50000</v>
      </c>
      <c r="M41" s="34">
        <v>22076</v>
      </c>
      <c r="N41" s="35">
        <f t="shared" si="1"/>
        <v>-27924</v>
      </c>
      <c r="O41" s="36">
        <f t="shared" si="2"/>
        <v>0.82527102803738317</v>
      </c>
      <c r="P41" s="37">
        <f t="shared" si="3"/>
        <v>538.43902439024396</v>
      </c>
      <c r="Q41" s="34">
        <v>88000</v>
      </c>
      <c r="R41" s="34">
        <v>90239</v>
      </c>
      <c r="S41" s="35">
        <f t="shared" si="4"/>
        <v>2239</v>
      </c>
      <c r="T41" s="55">
        <f t="shared" si="5"/>
        <v>68163</v>
      </c>
      <c r="U41" s="91"/>
      <c r="V41" s="92"/>
      <c r="W41" s="38">
        <f t="shared" si="6"/>
        <v>3.0876517485051638</v>
      </c>
      <c r="X41" s="2"/>
      <c r="Y41" s="2"/>
      <c r="Z41" s="1"/>
    </row>
    <row r="42" spans="1:26" ht="21" customHeight="1">
      <c r="A42" s="1"/>
      <c r="B42" s="2"/>
      <c r="C42" s="2"/>
      <c r="D42" s="50" t="s">
        <v>19</v>
      </c>
      <c r="E42" s="91"/>
      <c r="F42" s="91"/>
      <c r="G42" s="92"/>
      <c r="H42" s="31">
        <v>99998</v>
      </c>
      <c r="I42" s="31">
        <v>46752</v>
      </c>
      <c r="J42" s="32">
        <f t="shared" si="0"/>
        <v>0.46752935058701173</v>
      </c>
      <c r="K42" s="33">
        <v>59</v>
      </c>
      <c r="L42" s="34">
        <v>45000</v>
      </c>
      <c r="M42" s="34">
        <v>57823</v>
      </c>
      <c r="N42" s="35">
        <f t="shared" si="1"/>
        <v>12823</v>
      </c>
      <c r="O42" s="36">
        <f t="shared" si="2"/>
        <v>1.2368027036276523</v>
      </c>
      <c r="P42" s="37">
        <f t="shared" si="3"/>
        <v>980.05084745762713</v>
      </c>
      <c r="Q42" s="34">
        <v>67000</v>
      </c>
      <c r="R42" s="34">
        <v>74657</v>
      </c>
      <c r="S42" s="35">
        <f t="shared" si="4"/>
        <v>7657</v>
      </c>
      <c r="T42" s="55">
        <f t="shared" si="5"/>
        <v>16834</v>
      </c>
      <c r="U42" s="91"/>
      <c r="V42" s="92"/>
      <c r="W42" s="38">
        <f t="shared" si="6"/>
        <v>0.29112982723137854</v>
      </c>
      <c r="X42" s="2"/>
      <c r="Y42" s="2"/>
      <c r="Z42" s="1"/>
    </row>
    <row r="43" spans="1:26" ht="21" customHeight="1">
      <c r="A43" s="1"/>
      <c r="B43" s="2"/>
      <c r="C43" s="2"/>
      <c r="D43" s="50" t="s">
        <v>20</v>
      </c>
      <c r="E43" s="91"/>
      <c r="F43" s="91"/>
      <c r="G43" s="92"/>
      <c r="H43" s="31">
        <v>356321</v>
      </c>
      <c r="I43" s="31">
        <v>59752</v>
      </c>
      <c r="J43" s="32">
        <f t="shared" si="0"/>
        <v>0.1676914916606094</v>
      </c>
      <c r="K43" s="33">
        <v>93</v>
      </c>
      <c r="L43" s="34">
        <v>50000</v>
      </c>
      <c r="M43" s="34">
        <v>62484</v>
      </c>
      <c r="N43" s="35">
        <f t="shared" si="1"/>
        <v>12484</v>
      </c>
      <c r="O43" s="36">
        <f t="shared" si="2"/>
        <v>1.0457223189181952</v>
      </c>
      <c r="P43" s="37">
        <f t="shared" si="3"/>
        <v>671.87096774193549</v>
      </c>
      <c r="Q43" s="34">
        <v>89000</v>
      </c>
      <c r="R43" s="34">
        <v>90123</v>
      </c>
      <c r="S43" s="35">
        <f t="shared" si="4"/>
        <v>1123</v>
      </c>
      <c r="T43" s="55">
        <f t="shared" si="5"/>
        <v>27639</v>
      </c>
      <c r="U43" s="91"/>
      <c r="V43" s="92"/>
      <c r="W43" s="38">
        <f t="shared" si="6"/>
        <v>0.44233723833301325</v>
      </c>
      <c r="X43" s="2"/>
      <c r="Y43" s="2"/>
      <c r="Z43" s="1"/>
    </row>
    <row r="44" spans="1:26" ht="21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1"/>
    </row>
    <row r="45" spans="1:26" ht="46.5" customHeight="1">
      <c r="A45" s="1"/>
      <c r="B45" s="2"/>
      <c r="C45" s="2"/>
      <c r="D45" s="51" t="s">
        <v>35</v>
      </c>
      <c r="E45" s="77"/>
      <c r="F45" s="77"/>
      <c r="G45" s="77"/>
      <c r="H45" s="39" t="s">
        <v>1</v>
      </c>
      <c r="I45" s="39" t="s">
        <v>2</v>
      </c>
      <c r="J45" s="39" t="s">
        <v>26</v>
      </c>
      <c r="K45" s="39" t="s">
        <v>4</v>
      </c>
      <c r="L45" s="39" t="s">
        <v>27</v>
      </c>
      <c r="M45" s="39" t="s">
        <v>28</v>
      </c>
      <c r="N45" s="39" t="s">
        <v>29</v>
      </c>
      <c r="O45" s="39" t="s">
        <v>30</v>
      </c>
      <c r="P45" s="39" t="s">
        <v>5</v>
      </c>
      <c r="Q45" s="39" t="s">
        <v>31</v>
      </c>
      <c r="R45" s="39" t="s">
        <v>32</v>
      </c>
      <c r="S45" s="39" t="s">
        <v>9</v>
      </c>
      <c r="T45" s="56" t="s">
        <v>33</v>
      </c>
      <c r="U45" s="93"/>
      <c r="V45" s="94"/>
      <c r="W45" s="40" t="s">
        <v>34</v>
      </c>
      <c r="X45" s="2"/>
      <c r="Y45" s="2"/>
      <c r="Z45" s="1"/>
    </row>
    <row r="46" spans="1:26" ht="21" customHeight="1">
      <c r="A46" s="1"/>
      <c r="B46" s="2"/>
      <c r="C46" s="2"/>
      <c r="D46" s="95"/>
      <c r="E46" s="83"/>
      <c r="F46" s="83"/>
      <c r="G46" s="83"/>
      <c r="H46" s="41">
        <f t="shared" ref="H46:I46" si="7">SUM(H39:H43)</f>
        <v>724077</v>
      </c>
      <c r="I46" s="42">
        <f t="shared" si="7"/>
        <v>195151</v>
      </c>
      <c r="J46" s="43">
        <f>IFERROR(I46/H46,"0")</f>
        <v>0.26951691601860023</v>
      </c>
      <c r="K46" s="42">
        <f t="shared" ref="K46:M46" si="8">SUM(K39:K43)</f>
        <v>284</v>
      </c>
      <c r="L46" s="44">
        <f t="shared" si="8"/>
        <v>200000</v>
      </c>
      <c r="M46" s="44">
        <f t="shared" si="8"/>
        <v>187926</v>
      </c>
      <c r="N46" s="45">
        <f>M46-L46</f>
        <v>-12074</v>
      </c>
      <c r="O46" s="46">
        <f t="shared" ref="O46:R46" si="9">SUM(O39:O43)</f>
        <v>4.7413607800381161</v>
      </c>
      <c r="P46" s="44">
        <f t="shared" si="9"/>
        <v>3347.4322681612352</v>
      </c>
      <c r="Q46" s="44">
        <f t="shared" si="9"/>
        <v>354000</v>
      </c>
      <c r="R46" s="44">
        <f t="shared" si="9"/>
        <v>366817</v>
      </c>
      <c r="S46" s="45">
        <f>R46-Q46</f>
        <v>12817</v>
      </c>
      <c r="T46" s="57">
        <f>IFERROR(R46-M46,"0")</f>
        <v>178891</v>
      </c>
      <c r="U46" s="83"/>
      <c r="V46" s="96"/>
      <c r="W46" s="47">
        <f>IFERROR(T46/M46,0)</f>
        <v>0.95192256526505115</v>
      </c>
      <c r="X46" s="2"/>
      <c r="Y46" s="2"/>
      <c r="Z46" s="1"/>
    </row>
    <row r="47" spans="1:26" ht="21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1"/>
    </row>
    <row r="48" spans="1:26" ht="2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>
      <c r="A49" s="1"/>
      <c r="B49" s="52" t="s">
        <v>36</v>
      </c>
      <c r="C49" s="75"/>
      <c r="D49" s="75"/>
      <c r="E49" s="75"/>
      <c r="F49" s="75"/>
      <c r="G49" s="75"/>
      <c r="H49" s="75"/>
      <c r="I49" s="75"/>
      <c r="J49" s="48" t="s">
        <v>37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78">
    <mergeCell ref="V27:W29"/>
    <mergeCell ref="Q28:R28"/>
    <mergeCell ref="Q29:R29"/>
    <mergeCell ref="Q30:R30"/>
    <mergeCell ref="Q31:R31"/>
    <mergeCell ref="M30:N30"/>
    <mergeCell ref="M31:N31"/>
    <mergeCell ref="M32:N32"/>
    <mergeCell ref="M33:N33"/>
    <mergeCell ref="Q24:R24"/>
    <mergeCell ref="M25:N25"/>
    <mergeCell ref="M26:N26"/>
    <mergeCell ref="M27:N27"/>
    <mergeCell ref="Q26:R26"/>
    <mergeCell ref="Q27:R27"/>
    <mergeCell ref="D17:E18"/>
    <mergeCell ref="C19:F21"/>
    <mergeCell ref="H22:K23"/>
    <mergeCell ref="L22:O23"/>
    <mergeCell ref="M28:N28"/>
    <mergeCell ref="I24:J24"/>
    <mergeCell ref="M24:N24"/>
    <mergeCell ref="I26:J26"/>
    <mergeCell ref="D27:E29"/>
    <mergeCell ref="I27:J27"/>
    <mergeCell ref="I28:J28"/>
    <mergeCell ref="I29:J29"/>
    <mergeCell ref="M29:N29"/>
    <mergeCell ref="I25:J25"/>
    <mergeCell ref="U4:W9"/>
    <mergeCell ref="D5:E6"/>
    <mergeCell ref="C7:F9"/>
    <mergeCell ref="D11:E12"/>
    <mergeCell ref="C13:F15"/>
    <mergeCell ref="H4:J6"/>
    <mergeCell ref="K4:L6"/>
    <mergeCell ref="M4:O6"/>
    <mergeCell ref="P4:Q6"/>
    <mergeCell ref="R4:S6"/>
    <mergeCell ref="T39:V39"/>
    <mergeCell ref="T40:V40"/>
    <mergeCell ref="C3:F3"/>
    <mergeCell ref="H3:J3"/>
    <mergeCell ref="K3:L3"/>
    <mergeCell ref="M3:O3"/>
    <mergeCell ref="P3:Q3"/>
    <mergeCell ref="R3:S3"/>
    <mergeCell ref="U3:W3"/>
    <mergeCell ref="V13:W14"/>
    <mergeCell ref="V16:W18"/>
    <mergeCell ref="V19:W20"/>
    <mergeCell ref="V21:W23"/>
    <mergeCell ref="P22:S23"/>
    <mergeCell ref="V24:W25"/>
    <mergeCell ref="Q25:R25"/>
    <mergeCell ref="Q32:R32"/>
    <mergeCell ref="Q33:R33"/>
    <mergeCell ref="Q37:R37"/>
    <mergeCell ref="T37:V37"/>
    <mergeCell ref="T38:V38"/>
    <mergeCell ref="T41:V41"/>
    <mergeCell ref="T42:V42"/>
    <mergeCell ref="T43:V43"/>
    <mergeCell ref="T45:V45"/>
    <mergeCell ref="T46:V46"/>
    <mergeCell ref="B49:I49"/>
    <mergeCell ref="I32:J32"/>
    <mergeCell ref="I33:J33"/>
    <mergeCell ref="D35:G37"/>
    <mergeCell ref="D38:G38"/>
    <mergeCell ref="D39:G39"/>
    <mergeCell ref="D40:G40"/>
    <mergeCell ref="D41:G41"/>
    <mergeCell ref="I30:J30"/>
    <mergeCell ref="I31:J31"/>
    <mergeCell ref="D42:G42"/>
    <mergeCell ref="D43:G43"/>
    <mergeCell ref="D45:G46"/>
  </mergeCells>
  <conditionalFormatting sqref="I25:J25">
    <cfRule type="dataBar" priority="9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{0E3A2626-82D5-417F-BF81-A06B77884C70}</x14:id>
        </ext>
      </extLst>
    </cfRule>
    <cfRule type="dataBar" priority="8">
      <dataBar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{CC0C57C6-7375-4429-998E-3A8C19F1B1DD}</x14:id>
        </ext>
      </extLst>
    </cfRule>
    <cfRule type="dataBar" priority="7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{C7BB5FFA-7DF5-4494-8CB4-B72FF1A7AF97}</x14:id>
        </ext>
      </extLst>
    </cfRule>
    <cfRule type="dataBar" priority="6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{556719AB-63B6-421B-B2D4-5FEAF60158D5}</x14:id>
        </ext>
      </extLst>
    </cfRule>
  </conditionalFormatting>
  <conditionalFormatting sqref="I27:J27">
    <cfRule type="dataBar" priority="5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{2740A6C4-1F3E-401F-95E1-D738A8626562}</x14:id>
        </ext>
      </extLst>
    </cfRule>
  </conditionalFormatting>
  <conditionalFormatting sqref="I29:J29">
    <cfRule type="dataBar" priority="4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{332A73EF-6C29-407B-8B24-2F29F0AF5868}</x14:id>
        </ext>
      </extLst>
    </cfRule>
  </conditionalFormatting>
  <conditionalFormatting sqref="I31:J31 I33:J33">
    <cfRule type="dataBar" priority="3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{BFB63144-BC92-4528-A89E-5AB521BA1997}</x14:id>
        </ext>
      </extLst>
    </cfRule>
  </conditionalFormatting>
  <conditionalFormatting sqref="M25:N25 M27:N27 M29:N29 M31:N31 M33:N33 Q25:R25 Q27:R27 Q29:R29 Q31:R31 Q33:R33">
    <cfRule type="dataBar" priority="2">
      <dataBar showValue="0">
        <cfvo type="num" val="0"/>
        <cfvo type="num" val="0"/>
        <color theme="9" tint="0.59999389629810485"/>
      </dataBar>
      <extLst>
        <ext xmlns:x14="http://schemas.microsoft.com/office/spreadsheetml/2009/9/main" uri="{B025F937-C7B1-47D3-B67F-A62EFF666E3E}">
          <x14:id>{A448D402-4C52-4B47-966B-A5F0CC982055}</x14:id>
        </ext>
      </extLst>
    </cfRule>
    <cfRule type="dataBar" priority="1">
      <dataBar showValue="0">
        <cfvo type="num" val="0"/>
        <cfvo type="num" val="1"/>
        <color theme="9" tint="0.59999389629810485"/>
      </dataBar>
      <extLst>
        <ext xmlns:x14="http://schemas.microsoft.com/office/spreadsheetml/2009/9/main" uri="{B025F937-C7B1-47D3-B67F-A62EFF666E3E}">
          <x14:id>{340EFF13-614B-4F66-AB6A-B80DEC99FE41}</x14:id>
        </ext>
      </extLst>
    </cfRule>
  </conditionalFormatting>
  <hyperlinks>
    <hyperlink ref="B49" r:id="rId1" xr:uid="{00000000-0004-0000-0000-000000000000}"/>
    <hyperlink ref="J49" r:id="rId2" xr:uid="{00000000-0004-0000-0000-000001000000}"/>
  </hyperlinks>
  <pageMargins left="0.7" right="0.7" top="0.75" bottom="0.75" header="0.3" footer="0.3"/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E3A2626-82D5-417F-BF81-A06B77884C70}">
            <x14:dataBar minLength="0" maxLength="10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C0C57C6-7375-4429-998E-3A8C19F1B1DD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C7BB5FFA-7DF5-4494-8CB4-B72FF1A7AF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56719AB-63B6-421B-B2D4-5FEAF60158D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I25:J25</xm:sqref>
        </x14:conditionalFormatting>
        <x14:conditionalFormatting xmlns:xm="http://schemas.microsoft.com/office/excel/2006/main">
          <x14:cfRule type="dataBar" id="{2740A6C4-1F3E-401F-95E1-D738A862656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I27:J27</xm:sqref>
        </x14:conditionalFormatting>
        <x14:conditionalFormatting xmlns:xm="http://schemas.microsoft.com/office/excel/2006/main">
          <x14:cfRule type="dataBar" id="{332A73EF-6C29-407B-8B24-2F29F0AF5868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I29:J29</xm:sqref>
        </x14:conditionalFormatting>
        <x14:conditionalFormatting xmlns:xm="http://schemas.microsoft.com/office/excel/2006/main">
          <x14:cfRule type="dataBar" id="{BFB63144-BC92-4528-A89E-5AB521BA19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I31:J31 I33:J33</xm:sqref>
        </x14:conditionalFormatting>
        <x14:conditionalFormatting xmlns:xm="http://schemas.microsoft.com/office/excel/2006/main">
          <x14:cfRule type="dataBar" id="{A448D402-4C52-4B47-966B-A5F0CC982055}">
            <x14:dataBar minLength="0" maxLength="100" gradient="0">
              <x14:cfvo type="num">
                <xm:f>0</xm:f>
              </x14:cfvo>
              <x14:cfvo type="num">
                <xm:f>0</xm:f>
              </x14:cfvo>
              <x14:negativeFillColor rgb="FFFF0000"/>
              <x14:axisColor rgb="FF000000"/>
            </x14:dataBar>
          </x14:cfRule>
          <x14:cfRule type="dataBar" id="{340EFF13-614B-4F66-AB6A-B80DEC99FE4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M25:N25 M27:N27 M29:N29 M31:N31 M33:N33 Q25:R25 Q27:R27 Q29:R29 Q31:R31 Q33:R33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Mohsin Khan</cp:lastModifiedBy>
  <cp:revision/>
  <dcterms:created xsi:type="dcterms:W3CDTF">2026-03-13T16:42:40Z</dcterms:created>
  <dcterms:modified xsi:type="dcterms:W3CDTF">2026-03-13T16:42:40Z</dcterms:modified>
  <cp:category/>
  <cp:contentStatus/>
</cp:coreProperties>
</file>
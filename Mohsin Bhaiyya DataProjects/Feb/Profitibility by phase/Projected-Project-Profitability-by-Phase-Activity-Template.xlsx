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E:\ACER\DOCUMENTS\Office\Bundle\15+ Construction Financial Projections Template Bundle\Projected Project Profitability by PhaseActivity Template\"/>
    </mc:Choice>
  </mc:AlternateContent>
  <xr:revisionPtr revIDLastSave="0" documentId="11_DE588045EA95FE478B07D8BC76AC146F835837DC" xr6:coauthVersionLast="47" xr6:coauthVersionMax="47" xr10:uidLastSave="{00000000-0000-0000-0000-000000000000}"/>
  <bookViews>
    <workbookView xWindow="0" yWindow="0" windowWidth="20490" windowHeight="7650" xr2:uid="{00000000-000D-0000-FFFF-FFFF00000000}"/>
  </bookViews>
  <sheets>
    <sheet name="Dashboard" sheetId="1" r:id="rId1"/>
    <sheet name="Projected Project Profitability" sheetId="2" r:id="rId2"/>
    <sheet name="Chart Support" sheetId="3" state="hidden" r:id="rId3"/>
    <sheet name="Instructions" sheetId="4" r:id="rId4"/>
  </sheets>
  <externalReferences>
    <externalReference r:id="rId5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8" i="2" l="1"/>
  <c r="I22" i="1" s="1"/>
  <c r="B1" i="3"/>
  <c r="H18" i="2"/>
  <c r="G18" i="2"/>
  <c r="I31" i="1" s="1"/>
  <c r="F18" i="2"/>
  <c r="E18" i="2"/>
  <c r="I25" i="1" s="1"/>
  <c r="H17" i="2"/>
  <c r="G17" i="2"/>
  <c r="F17" i="2"/>
  <c r="E17" i="2"/>
  <c r="D17" i="2"/>
  <c r="I21" i="1" s="1"/>
  <c r="I34" i="1"/>
  <c r="I33" i="1"/>
  <c r="I30" i="1"/>
  <c r="I28" i="1"/>
  <c r="I27" i="1"/>
  <c r="I24" i="1"/>
  <c r="C23" i="1"/>
  <c r="C22" i="1"/>
  <c r="C21" i="1"/>
  <c r="C20" i="1"/>
  <c r="C18" i="1"/>
  <c r="D16" i="1"/>
  <c r="C16" i="1"/>
  <c r="D15" i="1"/>
  <c r="C15" i="1"/>
  <c r="D14" i="1"/>
  <c r="C14" i="1"/>
  <c r="D13" i="1"/>
  <c r="C13" i="1"/>
  <c r="D12" i="1"/>
  <c r="C12" i="1"/>
  <c r="D11" i="1"/>
  <c r="C11" i="1"/>
  <c r="D10" i="1"/>
  <c r="C10" i="1"/>
  <c r="D9" i="1"/>
  <c r="C9" i="1"/>
  <c r="D8" i="1"/>
  <c r="C8" i="1"/>
  <c r="D7" i="1"/>
  <c r="C7" i="1"/>
  <c r="I18" i="2" l="1"/>
</calcChain>
</file>

<file path=xl/sharedStrings.xml><?xml version="1.0" encoding="utf-8"?>
<sst xmlns="http://schemas.openxmlformats.org/spreadsheetml/2006/main" count="93" uniqueCount="45">
  <si>
    <r>
      <rPr>
        <sz val="12"/>
        <color theme="1"/>
        <rFont val="Proxima Nova"/>
      </rPr>
      <t xml:space="preserve">Chicago, IL 60631 | info@construct.com | </t>
    </r>
    <r>
      <rPr>
        <sz val="12"/>
        <color rgb="FF000000"/>
        <rFont val="Proxima Nova"/>
      </rPr>
      <t>Construction.com</t>
    </r>
    <r>
      <rPr>
        <sz val="12"/>
        <color theme="1"/>
        <rFont val="Proxima Nova"/>
      </rPr>
      <t xml:space="preserve"> | 222 555 7777</t>
    </r>
  </si>
  <si>
    <t>Projected Project Profitability by Phase/Activity Template Dashboard</t>
  </si>
  <si>
    <t>YEAR</t>
  </si>
  <si>
    <t>Projected Project Profitability by Phase/Activity Template</t>
  </si>
  <si>
    <t>Prepared by         :</t>
  </si>
  <si>
    <t>Date                      :</t>
  </si>
  <si>
    <t>TOTAL</t>
  </si>
  <si>
    <t>SUB TOTAL</t>
  </si>
  <si>
    <t>Phase/Activity</t>
  </si>
  <si>
    <t>Total</t>
  </si>
  <si>
    <t>Pre-construction</t>
  </si>
  <si>
    <t>Foundation</t>
  </si>
  <si>
    <t>Structural Framing</t>
  </si>
  <si>
    <t>Exterior Finishes</t>
  </si>
  <si>
    <t>Interior Finishes</t>
  </si>
  <si>
    <t>Mecahnical Systems</t>
  </si>
  <si>
    <t>Electrical Systems</t>
  </si>
  <si>
    <t>Site Work and Landscaping</t>
  </si>
  <si>
    <t>Utilities Installation</t>
  </si>
  <si>
    <t>Project Management</t>
  </si>
  <si>
    <t>#REF!</t>
  </si>
  <si>
    <t>CURRENT</t>
  </si>
  <si>
    <t>FORECASTED</t>
  </si>
  <si>
    <t>MATERIALS</t>
  </si>
  <si>
    <t>LABOR</t>
  </si>
  <si>
    <t>Construction Workers</t>
  </si>
  <si>
    <t>EQUIPMENT</t>
  </si>
  <si>
    <t>Skilled Tradespeople</t>
  </si>
  <si>
    <t>SUBCONTRACTORS</t>
  </si>
  <si>
    <t>PERMITS AND LICENSES</t>
  </si>
  <si>
    <t>DESIGN AND ENGINEERING</t>
  </si>
  <si>
    <t>Concrete</t>
  </si>
  <si>
    <t>OTHER COSTS</t>
  </si>
  <si>
    <t>Steel</t>
  </si>
  <si>
    <t>CONTINGENCY</t>
  </si>
  <si>
    <t>Wood</t>
  </si>
  <si>
    <t>Excavators</t>
  </si>
  <si>
    <t>Cranes</t>
  </si>
  <si>
    <t>Power Tools</t>
  </si>
  <si>
    <t>https://docs.google.com/spreadsheets/d/1fJtCMvXoigfc9dWaKu-HKbVSBFIkUt4-pysPxmCw8Sg/edit#gid=2113230748</t>
  </si>
  <si>
    <t>The following are instructions on how to use the template.</t>
  </si>
  <si>
    <t>1. Edit or add content like inserting rows and columns to the template.</t>
  </si>
  <si>
    <t>2. There are no locked-up cells for easier editing of cell names.</t>
  </si>
  <si>
    <t>3. Feel free to change any formula available.</t>
  </si>
  <si>
    <t>Should you need assistance, please contact our Customer Support Team using the chat box found on the website.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</si>
</sst>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yyyy"/>
    <numFmt numFmtId="165" formatCode="&quot;$&quot;#,##0.00"/>
  </numFmts>
  <fonts count="23">
    <font>
      <sz val="10"/>
      <color rgb="FF000000"/>
      <name val="Arial"/>
      <scheme val="minor"/>
    </font>
    <font>
      <sz val="10"/>
      <color theme="1"/>
      <name val="Poppins"/>
    </font>
    <font>
      <b/>
      <sz val="53"/>
      <color theme="1"/>
      <name val="Oswald"/>
    </font>
    <font>
      <sz val="12"/>
      <color theme="1"/>
      <name val="&quot;Proxima Nova&quot;"/>
    </font>
    <font>
      <b/>
      <sz val="12"/>
      <color theme="1"/>
      <name val="Century Gothic"/>
    </font>
    <font>
      <sz val="12"/>
      <color theme="1"/>
      <name val="Proxima Nova"/>
    </font>
    <font>
      <b/>
      <sz val="12"/>
      <color theme="1"/>
      <name val="Proxima Nova"/>
    </font>
    <font>
      <b/>
      <sz val="12"/>
      <color theme="1"/>
      <name val="Oswald"/>
    </font>
    <font>
      <b/>
      <sz val="20"/>
      <color theme="1"/>
      <name val="Proxima Nova"/>
    </font>
    <font>
      <sz val="10"/>
      <name val="Arial"/>
    </font>
    <font>
      <b/>
      <sz val="14"/>
      <color theme="1"/>
      <name val="Roboto"/>
    </font>
    <font>
      <b/>
      <sz val="14"/>
      <color theme="1"/>
      <name val="Proxima Nova"/>
    </font>
    <font>
      <sz val="10"/>
      <color theme="1"/>
      <name val="Arial"/>
      <scheme val="minor"/>
    </font>
    <font>
      <b/>
      <sz val="20"/>
      <color rgb="FFFFFFFF"/>
      <name val="Century Gothic"/>
    </font>
    <font>
      <b/>
      <sz val="20"/>
      <color theme="1"/>
      <name val="Roboto"/>
    </font>
    <font>
      <b/>
      <sz val="20"/>
      <color theme="1"/>
      <name val="Century Gothic"/>
    </font>
    <font>
      <b/>
      <sz val="18"/>
      <color theme="1"/>
      <name val="Proxima Nova"/>
    </font>
    <font>
      <b/>
      <sz val="12"/>
      <color rgb="FFFFFFFF"/>
      <name val="Proxima Nova"/>
    </font>
    <font>
      <sz val="14"/>
      <color theme="1"/>
      <name val="Proxima Nova"/>
    </font>
    <font>
      <u/>
      <sz val="10"/>
      <color rgb="FF0000FF"/>
      <name val="Arial"/>
    </font>
    <font>
      <sz val="10"/>
      <color theme="1"/>
      <name val="Arial"/>
    </font>
    <font>
      <sz val="11"/>
      <color theme="1"/>
      <name val="Roboto"/>
    </font>
    <font>
      <sz val="12"/>
      <color rgb="FF000000"/>
      <name val="Proxima Nova"/>
    </font>
  </fonts>
  <fills count="7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F3F0DA"/>
        <bgColor rgb="FFF3F0DA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000000"/>
        <bgColor rgb="FF000000"/>
      </patternFill>
    </fill>
  </fills>
  <borders count="36">
    <border>
      <left/>
      <right/>
      <top/>
      <bottom/>
      <diagonal/>
    </border>
    <border>
      <left style="thick">
        <color rgb="FF999999"/>
      </left>
      <right/>
      <top style="thick">
        <color rgb="FF999999"/>
      </top>
      <bottom/>
      <diagonal/>
    </border>
    <border>
      <left/>
      <right/>
      <top style="thick">
        <color rgb="FF999999"/>
      </top>
      <bottom/>
      <diagonal/>
    </border>
    <border>
      <left/>
      <right style="thick">
        <color rgb="FF999999"/>
      </right>
      <top style="thick">
        <color rgb="FF999999"/>
      </top>
      <bottom/>
      <diagonal/>
    </border>
    <border>
      <left style="thick">
        <color rgb="FF999999"/>
      </left>
      <right/>
      <top/>
      <bottom/>
      <diagonal/>
    </border>
    <border>
      <left/>
      <right style="thick">
        <color rgb="FF999999"/>
      </right>
      <top/>
      <bottom/>
      <diagonal/>
    </border>
    <border>
      <left/>
      <right/>
      <top style="thick">
        <color rgb="FF000000"/>
      </top>
      <bottom/>
      <diagonal/>
    </border>
    <border>
      <left style="thick">
        <color rgb="FFB7B7B7"/>
      </left>
      <right style="thick">
        <color rgb="FFB7B7B7"/>
      </right>
      <top style="thick">
        <color rgb="FFB7B7B7"/>
      </top>
      <bottom style="thick">
        <color rgb="FFB7B7B7"/>
      </bottom>
      <diagonal/>
    </border>
    <border>
      <left style="thick">
        <color rgb="FF999999"/>
      </left>
      <right/>
      <top/>
      <bottom style="thick">
        <color rgb="FF999999"/>
      </bottom>
      <diagonal/>
    </border>
    <border>
      <left/>
      <right/>
      <top/>
      <bottom style="thick">
        <color rgb="FF999999"/>
      </bottom>
      <diagonal/>
    </border>
    <border>
      <left/>
      <right style="thick">
        <color rgb="FF999999"/>
      </right>
      <top/>
      <bottom style="thick">
        <color rgb="FF999999"/>
      </bottom>
      <diagonal/>
    </border>
    <border>
      <left style="medium">
        <color rgb="FF999999"/>
      </left>
      <right/>
      <top style="medium">
        <color rgb="FF999999"/>
      </top>
      <bottom/>
      <diagonal/>
    </border>
    <border>
      <left/>
      <right/>
      <top style="medium">
        <color rgb="FF999999"/>
      </top>
      <bottom/>
      <diagonal/>
    </border>
    <border>
      <left/>
      <right style="medium">
        <color rgb="FF999999"/>
      </right>
      <top style="medium">
        <color rgb="FF999999"/>
      </top>
      <bottom/>
      <diagonal/>
    </border>
    <border>
      <left style="medium">
        <color rgb="FF999999"/>
      </left>
      <right/>
      <top/>
      <bottom/>
      <diagonal/>
    </border>
    <border>
      <left/>
      <right style="medium">
        <color rgb="FF999999"/>
      </right>
      <top/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B7B7B7"/>
      </left>
      <right style="medium">
        <color rgb="FFB7B7B7"/>
      </right>
      <top style="medium">
        <color rgb="FFB7B7B7"/>
      </top>
      <bottom style="medium">
        <color rgb="FFB7B7B7"/>
      </bottom>
      <diagonal/>
    </border>
    <border>
      <left/>
      <right/>
      <top style="medium">
        <color rgb="FFB7B7B7"/>
      </top>
      <bottom/>
      <diagonal/>
    </border>
    <border>
      <left/>
      <right style="medium">
        <color rgb="FFB7B7B7"/>
      </right>
      <top style="medium">
        <color rgb="FFB7B7B7"/>
      </top>
      <bottom/>
      <diagonal/>
    </border>
    <border>
      <left style="medium">
        <color rgb="FFB7B7B7"/>
      </left>
      <right/>
      <top style="medium">
        <color rgb="FFB7B7B7"/>
      </top>
      <bottom style="medium">
        <color rgb="FFB7B7B7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B7B7B7"/>
      </bottom>
      <diagonal/>
    </border>
    <border>
      <left/>
      <right style="medium">
        <color rgb="FFB7B7B7"/>
      </right>
      <top/>
      <bottom style="medium">
        <color rgb="FFB7B7B7"/>
      </bottom>
      <diagonal/>
    </border>
    <border>
      <left/>
      <right/>
      <top style="medium">
        <color rgb="FFB7B7B7"/>
      </top>
      <bottom style="medium">
        <color rgb="FFB7B7B7"/>
      </bottom>
      <diagonal/>
    </border>
    <border>
      <left/>
      <right style="medium">
        <color rgb="FFB7B7B7"/>
      </right>
      <top style="medium">
        <color rgb="FFB7B7B7"/>
      </top>
      <bottom style="medium">
        <color rgb="FFB7B7B7"/>
      </bottom>
      <diagonal/>
    </border>
    <border>
      <left style="medium">
        <color rgb="FFB7B7B7"/>
      </left>
      <right/>
      <top/>
      <bottom style="medium">
        <color rgb="FFFFF2CC"/>
      </bottom>
      <diagonal/>
    </border>
    <border>
      <left/>
      <right/>
      <top/>
      <bottom style="medium">
        <color rgb="FFFFF2CC"/>
      </bottom>
      <diagonal/>
    </border>
    <border>
      <left/>
      <right style="medium">
        <color rgb="FFB7B7B7"/>
      </right>
      <top/>
      <bottom style="medium">
        <color rgb="FFFFF2CC"/>
      </bottom>
      <diagonal/>
    </border>
    <border>
      <left style="medium">
        <color rgb="FFB7B7B7"/>
      </left>
      <right/>
      <top style="medium">
        <color rgb="FFFFF2CC"/>
      </top>
      <bottom style="medium">
        <color rgb="FFFFF2CC"/>
      </bottom>
      <diagonal/>
    </border>
    <border>
      <left/>
      <right/>
      <top style="medium">
        <color rgb="FFFFF2CC"/>
      </top>
      <bottom style="medium">
        <color rgb="FFFFF2CC"/>
      </bottom>
      <diagonal/>
    </border>
    <border>
      <left/>
      <right style="medium">
        <color rgb="FFB7B7B7"/>
      </right>
      <top style="medium">
        <color rgb="FFFFF2CC"/>
      </top>
      <bottom style="medium">
        <color rgb="FFFFF2CC"/>
      </bottom>
      <diagonal/>
    </border>
    <border>
      <left style="medium">
        <color rgb="FFB7B7B7"/>
      </left>
      <right/>
      <top style="medium">
        <color rgb="FFFFF2CC"/>
      </top>
      <bottom/>
      <diagonal/>
    </border>
    <border>
      <left/>
      <right/>
      <top style="medium">
        <color rgb="FFFFF2CC"/>
      </top>
      <bottom/>
      <diagonal/>
    </border>
    <border>
      <left/>
      <right style="medium">
        <color rgb="FFB7B7B7"/>
      </right>
      <top style="medium">
        <color rgb="FFFFF2CC"/>
      </top>
      <bottom/>
      <diagonal/>
    </border>
    <border>
      <left style="thin">
        <color rgb="FF000000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3" fillId="0" borderId="2" xfId="0" applyFont="1" applyBorder="1" applyAlignment="1">
      <alignment horizontal="right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1" fillId="0" borderId="5" xfId="0" applyFont="1" applyBorder="1" applyAlignment="1">
      <alignment vertical="center"/>
    </xf>
    <xf numFmtId="0" fontId="7" fillId="0" borderId="5" xfId="0" applyFont="1" applyBorder="1" applyAlignment="1">
      <alignment vertical="top"/>
    </xf>
    <xf numFmtId="0" fontId="7" fillId="0" borderId="0" xfId="0" applyFont="1" applyAlignment="1">
      <alignment vertical="top"/>
    </xf>
    <xf numFmtId="0" fontId="10" fillId="0" borderId="0" xfId="0" applyFont="1" applyAlignment="1">
      <alignment vertical="center"/>
    </xf>
    <xf numFmtId="44" fontId="11" fillId="0" borderId="7" xfId="0" applyNumberFormat="1" applyFont="1" applyBorder="1" applyAlignment="1">
      <alignment vertical="center"/>
    </xf>
    <xf numFmtId="0" fontId="4" fillId="0" borderId="5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2" fillId="0" borderId="0" xfId="0" applyFont="1"/>
    <xf numFmtId="164" fontId="14" fillId="3" borderId="7" xfId="0" applyNumberFormat="1" applyFont="1" applyFill="1" applyBorder="1" applyAlignment="1">
      <alignment horizontal="center" vertical="center"/>
    </xf>
    <xf numFmtId="165" fontId="15" fillId="0" borderId="7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vertical="center"/>
    </xf>
    <xf numFmtId="0" fontId="4" fillId="0" borderId="9" xfId="0" applyFont="1" applyBorder="1" applyAlignment="1">
      <alignment horizontal="center"/>
    </xf>
    <xf numFmtId="165" fontId="15" fillId="0" borderId="9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/>
    </xf>
    <xf numFmtId="0" fontId="5" fillId="0" borderId="0" xfId="0" applyFont="1" applyAlignment="1">
      <alignment vertical="center"/>
    </xf>
    <xf numFmtId="0" fontId="5" fillId="0" borderId="11" xfId="0" applyFont="1" applyBorder="1" applyAlignment="1">
      <alignment vertical="center"/>
    </xf>
    <xf numFmtId="0" fontId="6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5" fillId="0" borderId="15" xfId="0" applyFont="1" applyBorder="1" applyAlignment="1">
      <alignment vertical="center"/>
    </xf>
    <xf numFmtId="0" fontId="6" fillId="0" borderId="6" xfId="0" applyFont="1" applyBorder="1" applyAlignment="1">
      <alignment horizontal="center" vertical="center" wrapText="1"/>
    </xf>
    <xf numFmtId="0" fontId="16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6" fillId="4" borderId="18" xfId="0" applyFont="1" applyFill="1" applyBorder="1" applyAlignment="1">
      <alignment horizontal="center" vertical="center" wrapText="1"/>
    </xf>
    <xf numFmtId="164" fontId="6" fillId="5" borderId="19" xfId="0" applyNumberFormat="1" applyFont="1" applyFill="1" applyBorder="1" applyAlignment="1">
      <alignment horizontal="center" vertical="center" wrapText="1"/>
    </xf>
    <xf numFmtId="0" fontId="17" fillId="6" borderId="20" xfId="0" applyFont="1" applyFill="1" applyBorder="1" applyAlignment="1">
      <alignment horizontal="center" vertical="center" wrapText="1"/>
    </xf>
    <xf numFmtId="0" fontId="6" fillId="4" borderId="21" xfId="0" applyFont="1" applyFill="1" applyBorder="1" applyAlignment="1">
      <alignment horizontal="center" vertical="center" wrapText="1"/>
    </xf>
    <xf numFmtId="44" fontId="5" fillId="0" borderId="22" xfId="0" applyNumberFormat="1" applyFont="1" applyBorder="1" applyAlignment="1">
      <alignment vertical="center"/>
    </xf>
    <xf numFmtId="44" fontId="11" fillId="3" borderId="23" xfId="0" applyNumberFormat="1" applyFont="1" applyFill="1" applyBorder="1" applyAlignment="1">
      <alignment horizontal="center" vertical="center" wrapText="1"/>
    </xf>
    <xf numFmtId="164" fontId="6" fillId="0" borderId="0" xfId="0" applyNumberFormat="1" applyFont="1" applyAlignment="1">
      <alignment horizontal="center" vertical="center" wrapText="1"/>
    </xf>
    <xf numFmtId="0" fontId="18" fillId="0" borderId="0" xfId="0" applyFont="1" applyAlignment="1">
      <alignment vertical="center"/>
    </xf>
    <xf numFmtId="0" fontId="18" fillId="0" borderId="14" xfId="0" applyFont="1" applyBorder="1" applyAlignment="1">
      <alignment vertical="center"/>
    </xf>
    <xf numFmtId="0" fontId="11" fillId="5" borderId="21" xfId="0" applyFont="1" applyFill="1" applyBorder="1" applyAlignment="1">
      <alignment horizontal="center" vertical="center" wrapText="1"/>
    </xf>
    <xf numFmtId="164" fontId="11" fillId="5" borderId="24" xfId="0" applyNumberFormat="1" applyFont="1" applyFill="1" applyBorder="1" applyAlignment="1">
      <alignment horizontal="center" vertical="center" wrapText="1"/>
    </xf>
    <xf numFmtId="0" fontId="11" fillId="5" borderId="25" xfId="0" applyFont="1" applyFill="1" applyBorder="1" applyAlignment="1">
      <alignment horizontal="center" vertical="center" wrapText="1"/>
    </xf>
    <xf numFmtId="0" fontId="18" fillId="0" borderId="15" xfId="0" applyFont="1" applyBorder="1" applyAlignment="1">
      <alignment vertical="center"/>
    </xf>
    <xf numFmtId="0" fontId="5" fillId="0" borderId="26" xfId="0" applyFont="1" applyBorder="1" applyAlignment="1">
      <alignment vertical="center" wrapText="1"/>
    </xf>
    <xf numFmtId="44" fontId="5" fillId="0" borderId="27" xfId="0" applyNumberFormat="1" applyFont="1" applyBorder="1" applyAlignment="1">
      <alignment horizontal="right" vertical="center"/>
    </xf>
    <xf numFmtId="44" fontId="5" fillId="4" borderId="28" xfId="0" applyNumberFormat="1" applyFont="1" applyFill="1" applyBorder="1" applyAlignment="1">
      <alignment horizontal="right" vertical="center"/>
    </xf>
    <xf numFmtId="0" fontId="5" fillId="0" borderId="29" xfId="0" applyFont="1" applyBorder="1" applyAlignment="1">
      <alignment vertical="center" wrapText="1"/>
    </xf>
    <xf numFmtId="44" fontId="5" fillId="0" borderId="30" xfId="0" applyNumberFormat="1" applyFont="1" applyBorder="1" applyAlignment="1">
      <alignment horizontal="right" vertical="center"/>
    </xf>
    <xf numFmtId="44" fontId="5" fillId="4" borderId="31" xfId="0" applyNumberFormat="1" applyFont="1" applyFill="1" applyBorder="1" applyAlignment="1">
      <alignment horizontal="right" vertical="center"/>
    </xf>
    <xf numFmtId="0" fontId="5" fillId="0" borderId="29" xfId="0" applyFont="1" applyBorder="1" applyAlignment="1">
      <alignment vertical="center"/>
    </xf>
    <xf numFmtId="44" fontId="5" fillId="0" borderId="30" xfId="0" applyNumberFormat="1" applyFont="1" applyBorder="1" applyAlignment="1">
      <alignment vertical="center"/>
    </xf>
    <xf numFmtId="44" fontId="5" fillId="4" borderId="31" xfId="0" applyNumberFormat="1" applyFont="1" applyFill="1" applyBorder="1" applyAlignment="1">
      <alignment vertical="center"/>
    </xf>
    <xf numFmtId="0" fontId="5" fillId="0" borderId="30" xfId="0" applyFont="1" applyBorder="1" applyAlignment="1">
      <alignment vertical="center"/>
    </xf>
    <xf numFmtId="0" fontId="5" fillId="4" borderId="31" xfId="0" applyFont="1" applyFill="1" applyBorder="1" applyAlignment="1">
      <alignment vertical="center"/>
    </xf>
    <xf numFmtId="0" fontId="5" fillId="0" borderId="32" xfId="0" applyFont="1" applyBorder="1" applyAlignment="1">
      <alignment vertical="center"/>
    </xf>
    <xf numFmtId="0" fontId="5" fillId="0" borderId="33" xfId="0" applyFont="1" applyBorder="1" applyAlignment="1">
      <alignment vertical="center"/>
    </xf>
    <xf numFmtId="0" fontId="5" fillId="4" borderId="34" xfId="0" applyFont="1" applyFill="1" applyBorder="1" applyAlignment="1">
      <alignment vertical="center"/>
    </xf>
    <xf numFmtId="0" fontId="1" fillId="0" borderId="35" xfId="0" applyFont="1" applyBorder="1" applyAlignment="1">
      <alignment vertical="center"/>
    </xf>
    <xf numFmtId="0" fontId="19" fillId="0" borderId="0" xfId="0" applyFont="1"/>
    <xf numFmtId="0" fontId="20" fillId="0" borderId="0" xfId="0" applyFont="1"/>
    <xf numFmtId="0" fontId="5" fillId="0" borderId="0" xfId="0" applyFont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0" fontId="21" fillId="0" borderId="0" xfId="0" applyFont="1" applyAlignment="1">
      <alignment wrapText="1"/>
    </xf>
    <xf numFmtId="0" fontId="0" fillId="0" borderId="0" xfId="0" applyAlignment="1"/>
    <xf numFmtId="0" fontId="9" fillId="0" borderId="6" xfId="0" applyFont="1" applyBorder="1" applyAlignment="1"/>
    <xf numFmtId="0" fontId="9" fillId="0" borderId="17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 lvl="0">
              <a:defRPr sz="3000" b="1">
                <a:solidFill>
                  <a:srgbClr val="000000"/>
                </a:solidFill>
                <a:latin typeface="Arial"/>
              </a:defRPr>
            </a:pPr>
            <a:r>
              <a:rPr lang="en-PH" sz="3000" b="1">
                <a:solidFill>
                  <a:srgbClr val="000000"/>
                </a:solidFill>
                <a:latin typeface="Arial"/>
              </a:rPr>
              <a:t>Phase/Activity</a:t>
            </a:r>
          </a:p>
        </c:rich>
      </c:tx>
      <c:overlay val="0"/>
    </c:title>
    <c:autoTitleDeleted val="0"/>
    <c:plotArea>
      <c:layout/>
      <c:areaChart>
        <c:grouping val="standard"/>
        <c:varyColors val="1"/>
        <c:ser>
          <c:idx val="0"/>
          <c:order val="0"/>
          <c:spPr>
            <a:solidFill>
              <a:srgbClr val="7F6000">
                <a:alpha val="30000"/>
              </a:srgbClr>
            </a:solidFill>
            <a:ln cmpd="sng">
              <a:solidFill>
                <a:srgbClr val="7F6000">
                  <a:alpha val="100000"/>
                </a:srgbClr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Dashboard!$C$7:$C$16</c:f>
              <c:strCache>
                <c:ptCount val="10"/>
                <c:pt idx="0">
                  <c:v>Pre-construction</c:v>
                </c:pt>
                <c:pt idx="1">
                  <c:v>Foundation</c:v>
                </c:pt>
                <c:pt idx="2">
                  <c:v>Structural Framing</c:v>
                </c:pt>
                <c:pt idx="3">
                  <c:v>Exterior Finishes</c:v>
                </c:pt>
                <c:pt idx="4">
                  <c:v>Interior Finishes</c:v>
                </c:pt>
                <c:pt idx="5">
                  <c:v>Mecahnical Systems</c:v>
                </c:pt>
                <c:pt idx="6">
                  <c:v>Electrical Systems</c:v>
                </c:pt>
                <c:pt idx="7">
                  <c:v>Site Work and Landscaping</c:v>
                </c:pt>
                <c:pt idx="8">
                  <c:v>Utilities Installation</c:v>
                </c:pt>
                <c:pt idx="9">
                  <c:v>Project Management</c:v>
                </c:pt>
              </c:strCache>
            </c:strRef>
          </c:cat>
          <c:val>
            <c:numRef>
              <c:f>Dashboard!$D$7:$D$16</c:f>
              <c:numCache>
                <c:formatCode>_("$"* #,##0.00_);_("$"* \(#,##0.00\);_("$"* "-"??_);_(@_)</c:formatCode>
                <c:ptCount val="10"/>
                <c:pt idx="0">
                  <c:v>350000</c:v>
                </c:pt>
                <c:pt idx="1">
                  <c:v>500000</c:v>
                </c:pt>
                <c:pt idx="2">
                  <c:v>600000</c:v>
                </c:pt>
                <c:pt idx="3">
                  <c:v>450000</c:v>
                </c:pt>
                <c:pt idx="4">
                  <c:v>700000</c:v>
                </c:pt>
                <c:pt idx="5">
                  <c:v>550000</c:v>
                </c:pt>
                <c:pt idx="6">
                  <c:v>450000</c:v>
                </c:pt>
                <c:pt idx="7">
                  <c:v>300000</c:v>
                </c:pt>
                <c:pt idx="8">
                  <c:v>250000</c:v>
                </c:pt>
                <c:pt idx="9">
                  <c:v>600000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FC-4754-A063-AA7C5AF1E0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8592453"/>
        <c:axId val="745749283"/>
      </c:areaChart>
      <c:catAx>
        <c:axId val="6485924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PH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800" b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745749283"/>
        <c:crosses val="autoZero"/>
        <c:auto val="1"/>
        <c:lblAlgn val="ctr"/>
        <c:lblOffset val="100"/>
        <c:noMultiLvlLbl val="1"/>
      </c:catAx>
      <c:valAx>
        <c:axId val="745749283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PH"/>
              </a:p>
            </c:rich>
          </c:tx>
          <c:overlay val="0"/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48592453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 lvl="0">
              <a:defRPr sz="2000" b="1">
                <a:solidFill>
                  <a:srgbClr val="000000"/>
                </a:solidFill>
                <a:latin typeface="Arial"/>
              </a:defRPr>
            </a:pPr>
            <a:r>
              <a:rPr lang="en-PH" sz="2000" b="1">
                <a:solidFill>
                  <a:srgbClr val="000000"/>
                </a:solidFill>
                <a:latin typeface="Arial"/>
              </a:rPr>
              <a:t>2023</a:t>
            </a:r>
          </a:p>
        </c:rich>
      </c:tx>
      <c:overlay val="0"/>
    </c:title>
    <c:autoTitleDeleted val="0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'Projected Project Profitability'!$D$20</c:f>
              <c:strCache>
                <c:ptCount val="1"/>
                <c:pt idx="0">
                  <c:v>2023</c:v>
                </c:pt>
              </c:strCache>
            </c:strRef>
          </c:tx>
          <c:dPt>
            <c:idx val="0"/>
            <c:bubble3D val="0"/>
            <c:spPr>
              <a:solidFill>
                <a:srgbClr val="7F6000"/>
              </a:solidFill>
            </c:spPr>
            <c:extLst>
              <c:ext xmlns:c16="http://schemas.microsoft.com/office/drawing/2014/chart" uri="{C3380CC4-5D6E-409C-BE32-E72D297353CC}">
                <c16:uniqueId val="{00000001-80A6-4A09-AA6A-23B4D58437E6}"/>
              </c:ext>
            </c:extLst>
          </c:dPt>
          <c:dPt>
            <c:idx val="1"/>
            <c:bubble3D val="0"/>
            <c:spPr>
              <a:solidFill>
                <a:srgbClr val="BF9000"/>
              </a:solidFill>
            </c:spPr>
            <c:extLst>
              <c:ext xmlns:c16="http://schemas.microsoft.com/office/drawing/2014/chart" uri="{C3380CC4-5D6E-409C-BE32-E72D297353CC}">
                <c16:uniqueId val="{00000003-80A6-4A09-AA6A-23B4D58437E6}"/>
              </c:ext>
            </c:extLst>
          </c:dPt>
          <c:dPt>
            <c:idx val="2"/>
            <c:bubble3D val="0"/>
            <c:spPr>
              <a:solidFill>
                <a:srgbClr val="F1C232"/>
              </a:solidFill>
            </c:spPr>
            <c:extLst>
              <c:ext xmlns:c16="http://schemas.microsoft.com/office/drawing/2014/chart" uri="{C3380CC4-5D6E-409C-BE32-E72D297353CC}">
                <c16:uniqueId val="{00000005-80A6-4A09-AA6A-23B4D58437E6}"/>
              </c:ext>
            </c:extLst>
          </c:dPt>
          <c:dPt>
            <c:idx val="3"/>
            <c:bubble3D val="0"/>
            <c:spPr>
              <a:solidFill>
                <a:srgbClr val="FFD966"/>
              </a:solidFill>
            </c:spPr>
            <c:extLst>
              <c:ext xmlns:c16="http://schemas.microsoft.com/office/drawing/2014/chart" uri="{C3380CC4-5D6E-409C-BE32-E72D297353CC}">
                <c16:uniqueId val="{00000007-80A6-4A09-AA6A-23B4D58437E6}"/>
              </c:ext>
            </c:extLst>
          </c:dPt>
          <c:dPt>
            <c:idx val="4"/>
            <c:bubble3D val="0"/>
            <c:spPr>
              <a:solidFill>
                <a:srgbClr val="FFE599"/>
              </a:solidFill>
            </c:spPr>
            <c:extLst>
              <c:ext xmlns:c16="http://schemas.microsoft.com/office/drawing/2014/chart" uri="{C3380CC4-5D6E-409C-BE32-E72D297353CC}">
                <c16:uniqueId val="{00000009-80A6-4A09-AA6A-23B4D58437E6}"/>
              </c:ext>
            </c:extLst>
          </c:dPt>
          <c:dPt>
            <c:idx val="5"/>
            <c:bubble3D val="0"/>
            <c:spPr>
              <a:solidFill>
                <a:srgbClr val="FFF2CC"/>
              </a:solidFill>
            </c:spPr>
            <c:extLst>
              <c:ext xmlns:c16="http://schemas.microsoft.com/office/drawing/2014/chart" uri="{C3380CC4-5D6E-409C-BE32-E72D297353CC}">
                <c16:uniqueId val="{0000000B-80A6-4A09-AA6A-23B4D58437E6}"/>
              </c:ext>
            </c:extLst>
          </c:dPt>
          <c:dPt>
            <c:idx val="6"/>
            <c:bubble3D val="0"/>
            <c:spPr>
              <a:solidFill>
                <a:srgbClr val="A5904D"/>
              </a:solidFill>
            </c:spPr>
            <c:extLst>
              <c:ext xmlns:c16="http://schemas.microsoft.com/office/drawing/2014/chart" uri="{C3380CC4-5D6E-409C-BE32-E72D297353CC}">
                <c16:uniqueId val="{0000000D-80A6-4A09-AA6A-23B4D58437E6}"/>
              </c:ext>
            </c:extLst>
          </c:dPt>
          <c:dPt>
            <c:idx val="7"/>
            <c:bubble3D val="0"/>
            <c:spPr>
              <a:solidFill>
                <a:srgbClr val="D2B14D"/>
              </a:solidFill>
            </c:spPr>
            <c:extLst>
              <c:ext xmlns:c16="http://schemas.microsoft.com/office/drawing/2014/chart" uri="{C3380CC4-5D6E-409C-BE32-E72D297353CC}">
                <c16:uniqueId val="{0000000F-80A6-4A09-AA6A-23B4D58437E6}"/>
              </c:ext>
            </c:extLst>
          </c:dPt>
          <c:dPt>
            <c:idx val="8"/>
            <c:bubble3D val="0"/>
            <c:spPr>
              <a:solidFill>
                <a:srgbClr val="F5D470"/>
              </a:solidFill>
            </c:spPr>
            <c:extLst>
              <c:ext xmlns:c16="http://schemas.microsoft.com/office/drawing/2014/chart" uri="{C3380CC4-5D6E-409C-BE32-E72D297353CC}">
                <c16:uniqueId val="{00000011-80A6-4A09-AA6A-23B4D58437E6}"/>
              </c:ext>
            </c:extLst>
          </c:dPt>
          <c:dPt>
            <c:idx val="9"/>
            <c:bubble3D val="0"/>
            <c:spPr>
              <a:solidFill>
                <a:srgbClr val="FFE494"/>
              </a:solidFill>
            </c:spPr>
            <c:extLst>
              <c:ext xmlns:c16="http://schemas.microsoft.com/office/drawing/2014/chart" uri="{C3380CC4-5D6E-409C-BE32-E72D297353CC}">
                <c16:uniqueId val="{00000013-80A6-4A09-AA6A-23B4D58437E6}"/>
              </c:ext>
            </c:extLst>
          </c:dPt>
          <c:cat>
            <c:strRef>
              <c:f>'Projected Project Profitability'!$C$21:$C$30</c:f>
              <c:strCache>
                <c:ptCount val="10"/>
                <c:pt idx="0">
                  <c:v>Pre-construction</c:v>
                </c:pt>
                <c:pt idx="1">
                  <c:v>Foundation</c:v>
                </c:pt>
                <c:pt idx="2">
                  <c:v>Structural Framing</c:v>
                </c:pt>
                <c:pt idx="3">
                  <c:v>Exterior Finishes</c:v>
                </c:pt>
                <c:pt idx="4">
                  <c:v>Interior Finishes</c:v>
                </c:pt>
                <c:pt idx="5">
                  <c:v>Mecahnical Systems</c:v>
                </c:pt>
                <c:pt idx="6">
                  <c:v>Electrical Systems</c:v>
                </c:pt>
                <c:pt idx="7">
                  <c:v>Site Work and Landscaping</c:v>
                </c:pt>
                <c:pt idx="8">
                  <c:v>Utilities Installation</c:v>
                </c:pt>
                <c:pt idx="9">
                  <c:v>Project Management</c:v>
                </c:pt>
              </c:strCache>
            </c:strRef>
          </c:cat>
          <c:val>
            <c:numRef>
              <c:f>'Projected Project Profitability'!$D$21:$D$30</c:f>
              <c:numCache>
                <c:formatCode>_("$"* #,##0.00_);_("$"* \(#,##0.00\);_("$"* "-"??_);_(@_)</c:formatCode>
                <c:ptCount val="10"/>
                <c:pt idx="0">
                  <c:v>50000</c:v>
                </c:pt>
                <c:pt idx="1">
                  <c:v>80000</c:v>
                </c:pt>
                <c:pt idx="2">
                  <c:v>100000</c:v>
                </c:pt>
                <c:pt idx="3">
                  <c:v>70000</c:v>
                </c:pt>
                <c:pt idx="4">
                  <c:v>120000</c:v>
                </c:pt>
                <c:pt idx="5">
                  <c:v>90000</c:v>
                </c:pt>
                <c:pt idx="6">
                  <c:v>70000</c:v>
                </c:pt>
                <c:pt idx="7">
                  <c:v>40000</c:v>
                </c:pt>
                <c:pt idx="8">
                  <c:v>30000</c:v>
                </c:pt>
                <c:pt idx="9">
                  <c:v>100000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80A6-4A09-AA6A-23B4D58437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 lvl="0">
              <a:defRPr sz="2000" b="1">
                <a:solidFill>
                  <a:srgbClr val="000000"/>
                </a:solidFill>
                <a:latin typeface="Arial"/>
              </a:defRPr>
            </a:pPr>
            <a:r>
              <a:rPr lang="en-PH" sz="2000" b="1">
                <a:solidFill>
                  <a:srgbClr val="000000"/>
                </a:solidFill>
                <a:latin typeface="Arial"/>
              </a:rPr>
              <a:t>2024</a:t>
            </a:r>
          </a:p>
        </c:rich>
      </c:tx>
      <c:overlay val="0"/>
    </c:title>
    <c:autoTitleDeleted val="0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'Projected Project Profitability'!$E$20</c:f>
              <c:strCache>
                <c:ptCount val="1"/>
                <c:pt idx="0">
                  <c:v>2024</c:v>
                </c:pt>
              </c:strCache>
            </c:strRef>
          </c:tx>
          <c:dPt>
            <c:idx val="0"/>
            <c:bubble3D val="0"/>
            <c:spPr>
              <a:solidFill>
                <a:srgbClr val="7F6000"/>
              </a:solidFill>
            </c:spPr>
            <c:extLst>
              <c:ext xmlns:c16="http://schemas.microsoft.com/office/drawing/2014/chart" uri="{C3380CC4-5D6E-409C-BE32-E72D297353CC}">
                <c16:uniqueId val="{00000001-0A2C-4732-8E26-44A16943DE31}"/>
              </c:ext>
            </c:extLst>
          </c:dPt>
          <c:dPt>
            <c:idx val="1"/>
            <c:bubble3D val="0"/>
            <c:spPr>
              <a:solidFill>
                <a:srgbClr val="BF9000"/>
              </a:solidFill>
            </c:spPr>
            <c:extLst>
              <c:ext xmlns:c16="http://schemas.microsoft.com/office/drawing/2014/chart" uri="{C3380CC4-5D6E-409C-BE32-E72D297353CC}">
                <c16:uniqueId val="{00000003-0A2C-4732-8E26-44A16943DE31}"/>
              </c:ext>
            </c:extLst>
          </c:dPt>
          <c:dPt>
            <c:idx val="2"/>
            <c:bubble3D val="0"/>
            <c:spPr>
              <a:solidFill>
                <a:srgbClr val="F1C232"/>
              </a:solidFill>
            </c:spPr>
            <c:extLst>
              <c:ext xmlns:c16="http://schemas.microsoft.com/office/drawing/2014/chart" uri="{C3380CC4-5D6E-409C-BE32-E72D297353CC}">
                <c16:uniqueId val="{00000005-0A2C-4732-8E26-44A16943DE31}"/>
              </c:ext>
            </c:extLst>
          </c:dPt>
          <c:dPt>
            <c:idx val="3"/>
            <c:bubble3D val="0"/>
            <c:spPr>
              <a:solidFill>
                <a:srgbClr val="FFD966"/>
              </a:solidFill>
            </c:spPr>
            <c:extLst>
              <c:ext xmlns:c16="http://schemas.microsoft.com/office/drawing/2014/chart" uri="{C3380CC4-5D6E-409C-BE32-E72D297353CC}">
                <c16:uniqueId val="{00000007-0A2C-4732-8E26-44A16943DE31}"/>
              </c:ext>
            </c:extLst>
          </c:dPt>
          <c:dPt>
            <c:idx val="4"/>
            <c:bubble3D val="0"/>
            <c:spPr>
              <a:solidFill>
                <a:srgbClr val="FFE599"/>
              </a:solidFill>
            </c:spPr>
            <c:extLst>
              <c:ext xmlns:c16="http://schemas.microsoft.com/office/drawing/2014/chart" uri="{C3380CC4-5D6E-409C-BE32-E72D297353CC}">
                <c16:uniqueId val="{00000009-0A2C-4732-8E26-44A16943DE31}"/>
              </c:ext>
            </c:extLst>
          </c:dPt>
          <c:dPt>
            <c:idx val="5"/>
            <c:bubble3D val="0"/>
            <c:spPr>
              <a:solidFill>
                <a:srgbClr val="FFF2CC"/>
              </a:solidFill>
            </c:spPr>
            <c:extLst>
              <c:ext xmlns:c16="http://schemas.microsoft.com/office/drawing/2014/chart" uri="{C3380CC4-5D6E-409C-BE32-E72D297353CC}">
                <c16:uniqueId val="{0000000B-0A2C-4732-8E26-44A16943DE31}"/>
              </c:ext>
            </c:extLst>
          </c:dPt>
          <c:dPt>
            <c:idx val="6"/>
            <c:bubble3D val="0"/>
            <c:spPr>
              <a:solidFill>
                <a:srgbClr val="A5904D"/>
              </a:solidFill>
            </c:spPr>
            <c:extLst>
              <c:ext xmlns:c16="http://schemas.microsoft.com/office/drawing/2014/chart" uri="{C3380CC4-5D6E-409C-BE32-E72D297353CC}">
                <c16:uniqueId val="{0000000D-0A2C-4732-8E26-44A16943DE31}"/>
              </c:ext>
            </c:extLst>
          </c:dPt>
          <c:dPt>
            <c:idx val="7"/>
            <c:bubble3D val="0"/>
            <c:spPr>
              <a:solidFill>
                <a:srgbClr val="D2B14D"/>
              </a:solidFill>
            </c:spPr>
            <c:extLst>
              <c:ext xmlns:c16="http://schemas.microsoft.com/office/drawing/2014/chart" uri="{C3380CC4-5D6E-409C-BE32-E72D297353CC}">
                <c16:uniqueId val="{0000000F-0A2C-4732-8E26-44A16943DE31}"/>
              </c:ext>
            </c:extLst>
          </c:dPt>
          <c:dPt>
            <c:idx val="8"/>
            <c:bubble3D val="0"/>
            <c:spPr>
              <a:solidFill>
                <a:srgbClr val="F5D470"/>
              </a:solidFill>
            </c:spPr>
            <c:extLst>
              <c:ext xmlns:c16="http://schemas.microsoft.com/office/drawing/2014/chart" uri="{C3380CC4-5D6E-409C-BE32-E72D297353CC}">
                <c16:uniqueId val="{00000011-0A2C-4732-8E26-44A16943DE31}"/>
              </c:ext>
            </c:extLst>
          </c:dPt>
          <c:dPt>
            <c:idx val="9"/>
            <c:bubble3D val="0"/>
            <c:spPr>
              <a:solidFill>
                <a:srgbClr val="FFE494"/>
              </a:solidFill>
            </c:spPr>
            <c:extLst>
              <c:ext xmlns:c16="http://schemas.microsoft.com/office/drawing/2014/chart" uri="{C3380CC4-5D6E-409C-BE32-E72D297353CC}">
                <c16:uniqueId val="{00000013-0A2C-4732-8E26-44A16943DE31}"/>
              </c:ext>
            </c:extLst>
          </c:dPt>
          <c:cat>
            <c:strRef>
              <c:f>'Projected Project Profitability'!$C$21:$C$30</c:f>
              <c:strCache>
                <c:ptCount val="10"/>
                <c:pt idx="0">
                  <c:v>Pre-construction</c:v>
                </c:pt>
                <c:pt idx="1">
                  <c:v>Foundation</c:v>
                </c:pt>
                <c:pt idx="2">
                  <c:v>Structural Framing</c:v>
                </c:pt>
                <c:pt idx="3">
                  <c:v>Exterior Finishes</c:v>
                </c:pt>
                <c:pt idx="4">
                  <c:v>Interior Finishes</c:v>
                </c:pt>
                <c:pt idx="5">
                  <c:v>Mecahnical Systems</c:v>
                </c:pt>
                <c:pt idx="6">
                  <c:v>Electrical Systems</c:v>
                </c:pt>
                <c:pt idx="7">
                  <c:v>Site Work and Landscaping</c:v>
                </c:pt>
                <c:pt idx="8">
                  <c:v>Utilities Installation</c:v>
                </c:pt>
                <c:pt idx="9">
                  <c:v>Project Management</c:v>
                </c:pt>
              </c:strCache>
            </c:strRef>
          </c:cat>
          <c:val>
            <c:numRef>
              <c:f>'Projected Project Profitability'!$E$21:$E$30</c:f>
              <c:numCache>
                <c:formatCode>_("$"* #,##0.00_);_("$"* \(#,##0.00\);_("$"* "-"??_);_(@_)</c:formatCode>
                <c:ptCount val="10"/>
                <c:pt idx="0">
                  <c:v>60000</c:v>
                </c:pt>
                <c:pt idx="1">
                  <c:v>90000</c:v>
                </c:pt>
                <c:pt idx="2">
                  <c:v>110000</c:v>
                </c:pt>
                <c:pt idx="3">
                  <c:v>80000</c:v>
                </c:pt>
                <c:pt idx="4">
                  <c:v>130000</c:v>
                </c:pt>
                <c:pt idx="5">
                  <c:v>100000</c:v>
                </c:pt>
                <c:pt idx="6">
                  <c:v>80000</c:v>
                </c:pt>
                <c:pt idx="7">
                  <c:v>50000</c:v>
                </c:pt>
                <c:pt idx="8">
                  <c:v>40000</c:v>
                </c:pt>
                <c:pt idx="9">
                  <c:v>110000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0A2C-4732-8E26-44A16943DE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1"/>
        <c:ser>
          <c:idx val="0"/>
          <c:order val="0"/>
          <c:tx>
            <c:strRef>
              <c:f>'Projected Project Profitability'!$D$20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rgbClr val="7F600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'Projected Project Profitability'!$C$21:$C$30</c:f>
              <c:strCache>
                <c:ptCount val="10"/>
                <c:pt idx="0">
                  <c:v>Pre-construction</c:v>
                </c:pt>
                <c:pt idx="1">
                  <c:v>Foundation</c:v>
                </c:pt>
                <c:pt idx="2">
                  <c:v>Structural Framing</c:v>
                </c:pt>
                <c:pt idx="3">
                  <c:v>Exterior Finishes</c:v>
                </c:pt>
                <c:pt idx="4">
                  <c:v>Interior Finishes</c:v>
                </c:pt>
                <c:pt idx="5">
                  <c:v>Mecahnical Systems</c:v>
                </c:pt>
                <c:pt idx="6">
                  <c:v>Electrical Systems</c:v>
                </c:pt>
                <c:pt idx="7">
                  <c:v>Site Work and Landscaping</c:v>
                </c:pt>
                <c:pt idx="8">
                  <c:v>Utilities Installation</c:v>
                </c:pt>
                <c:pt idx="9">
                  <c:v>Project Management</c:v>
                </c:pt>
              </c:strCache>
            </c:strRef>
          </c:cat>
          <c:val>
            <c:numRef>
              <c:f>'Projected Project Profitability'!$D$21:$D$30</c:f>
              <c:numCache>
                <c:formatCode>_("$"* #,##0.00_);_("$"* \(#,##0.00\);_("$"* "-"??_);_(@_)</c:formatCode>
                <c:ptCount val="10"/>
                <c:pt idx="0">
                  <c:v>50000</c:v>
                </c:pt>
                <c:pt idx="1">
                  <c:v>80000</c:v>
                </c:pt>
                <c:pt idx="2">
                  <c:v>100000</c:v>
                </c:pt>
                <c:pt idx="3">
                  <c:v>70000</c:v>
                </c:pt>
                <c:pt idx="4">
                  <c:v>120000</c:v>
                </c:pt>
                <c:pt idx="5">
                  <c:v>90000</c:v>
                </c:pt>
                <c:pt idx="6">
                  <c:v>70000</c:v>
                </c:pt>
                <c:pt idx="7">
                  <c:v>40000</c:v>
                </c:pt>
                <c:pt idx="8">
                  <c:v>30000</c:v>
                </c:pt>
                <c:pt idx="9">
                  <c:v>100000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1B7-42A9-9195-4D7417E0274A}"/>
            </c:ext>
          </c:extLst>
        </c:ser>
        <c:ser>
          <c:idx val="1"/>
          <c:order val="1"/>
          <c:tx>
            <c:strRef>
              <c:f>'Projected Project Profitability'!$E$20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BF900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'Projected Project Profitability'!$C$21:$C$30</c:f>
              <c:strCache>
                <c:ptCount val="10"/>
                <c:pt idx="0">
                  <c:v>Pre-construction</c:v>
                </c:pt>
                <c:pt idx="1">
                  <c:v>Foundation</c:v>
                </c:pt>
                <c:pt idx="2">
                  <c:v>Structural Framing</c:v>
                </c:pt>
                <c:pt idx="3">
                  <c:v>Exterior Finishes</c:v>
                </c:pt>
                <c:pt idx="4">
                  <c:v>Interior Finishes</c:v>
                </c:pt>
                <c:pt idx="5">
                  <c:v>Mecahnical Systems</c:v>
                </c:pt>
                <c:pt idx="6">
                  <c:v>Electrical Systems</c:v>
                </c:pt>
                <c:pt idx="7">
                  <c:v>Site Work and Landscaping</c:v>
                </c:pt>
                <c:pt idx="8">
                  <c:v>Utilities Installation</c:v>
                </c:pt>
                <c:pt idx="9">
                  <c:v>Project Management</c:v>
                </c:pt>
              </c:strCache>
            </c:strRef>
          </c:cat>
          <c:val>
            <c:numRef>
              <c:f>'Projected Project Profitability'!$E$21:$E$30</c:f>
              <c:numCache>
                <c:formatCode>_("$"* #,##0.00_);_("$"* \(#,##0.00\);_("$"* "-"??_);_(@_)</c:formatCode>
                <c:ptCount val="10"/>
                <c:pt idx="0">
                  <c:v>60000</c:v>
                </c:pt>
                <c:pt idx="1">
                  <c:v>90000</c:v>
                </c:pt>
                <c:pt idx="2">
                  <c:v>110000</c:v>
                </c:pt>
                <c:pt idx="3">
                  <c:v>80000</c:v>
                </c:pt>
                <c:pt idx="4">
                  <c:v>130000</c:v>
                </c:pt>
                <c:pt idx="5">
                  <c:v>100000</c:v>
                </c:pt>
                <c:pt idx="6">
                  <c:v>80000</c:v>
                </c:pt>
                <c:pt idx="7">
                  <c:v>50000</c:v>
                </c:pt>
                <c:pt idx="8">
                  <c:v>40000</c:v>
                </c:pt>
                <c:pt idx="9">
                  <c:v>110000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71B7-42A9-9195-4D7417E0274A}"/>
            </c:ext>
          </c:extLst>
        </c:ser>
        <c:ser>
          <c:idx val="2"/>
          <c:order val="2"/>
          <c:tx>
            <c:strRef>
              <c:f>'Projected Project Profitability'!$F$20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F1C232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'Projected Project Profitability'!$C$21:$C$30</c:f>
              <c:strCache>
                <c:ptCount val="10"/>
                <c:pt idx="0">
                  <c:v>Pre-construction</c:v>
                </c:pt>
                <c:pt idx="1">
                  <c:v>Foundation</c:v>
                </c:pt>
                <c:pt idx="2">
                  <c:v>Structural Framing</c:v>
                </c:pt>
                <c:pt idx="3">
                  <c:v>Exterior Finishes</c:v>
                </c:pt>
                <c:pt idx="4">
                  <c:v>Interior Finishes</c:v>
                </c:pt>
                <c:pt idx="5">
                  <c:v>Mecahnical Systems</c:v>
                </c:pt>
                <c:pt idx="6">
                  <c:v>Electrical Systems</c:v>
                </c:pt>
                <c:pt idx="7">
                  <c:v>Site Work and Landscaping</c:v>
                </c:pt>
                <c:pt idx="8">
                  <c:v>Utilities Installation</c:v>
                </c:pt>
                <c:pt idx="9">
                  <c:v>Project Management</c:v>
                </c:pt>
              </c:strCache>
            </c:strRef>
          </c:cat>
          <c:val>
            <c:numRef>
              <c:f>'Projected Project Profitability'!$F$21:$F$30</c:f>
              <c:numCache>
                <c:formatCode>_("$"* #,##0.00_);_("$"* \(#,##0.00\);_("$"* "-"??_);_(@_)</c:formatCode>
                <c:ptCount val="10"/>
                <c:pt idx="0">
                  <c:v>70000</c:v>
                </c:pt>
                <c:pt idx="1">
                  <c:v>100000</c:v>
                </c:pt>
                <c:pt idx="2">
                  <c:v>120000</c:v>
                </c:pt>
                <c:pt idx="3">
                  <c:v>90000</c:v>
                </c:pt>
                <c:pt idx="4">
                  <c:v>140000</c:v>
                </c:pt>
                <c:pt idx="5">
                  <c:v>110000</c:v>
                </c:pt>
                <c:pt idx="6">
                  <c:v>90000</c:v>
                </c:pt>
                <c:pt idx="7">
                  <c:v>60000</c:v>
                </c:pt>
                <c:pt idx="8">
                  <c:v>50000</c:v>
                </c:pt>
                <c:pt idx="9">
                  <c:v>120000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71B7-42A9-9195-4D7417E0274A}"/>
            </c:ext>
          </c:extLst>
        </c:ser>
        <c:ser>
          <c:idx val="3"/>
          <c:order val="3"/>
          <c:tx>
            <c:strRef>
              <c:f>'Projected Project Profitability'!$G$20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rgbClr val="FFD966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'Projected Project Profitability'!$C$21:$C$30</c:f>
              <c:strCache>
                <c:ptCount val="10"/>
                <c:pt idx="0">
                  <c:v>Pre-construction</c:v>
                </c:pt>
                <c:pt idx="1">
                  <c:v>Foundation</c:v>
                </c:pt>
                <c:pt idx="2">
                  <c:v>Structural Framing</c:v>
                </c:pt>
                <c:pt idx="3">
                  <c:v>Exterior Finishes</c:v>
                </c:pt>
                <c:pt idx="4">
                  <c:v>Interior Finishes</c:v>
                </c:pt>
                <c:pt idx="5">
                  <c:v>Mecahnical Systems</c:v>
                </c:pt>
                <c:pt idx="6">
                  <c:v>Electrical Systems</c:v>
                </c:pt>
                <c:pt idx="7">
                  <c:v>Site Work and Landscaping</c:v>
                </c:pt>
                <c:pt idx="8">
                  <c:v>Utilities Installation</c:v>
                </c:pt>
                <c:pt idx="9">
                  <c:v>Project Management</c:v>
                </c:pt>
              </c:strCache>
            </c:strRef>
          </c:cat>
          <c:val>
            <c:numRef>
              <c:f>'Projected Project Profitability'!$G$21:$G$30</c:f>
              <c:numCache>
                <c:formatCode>_("$"* #,##0.00_);_("$"* \(#,##0.00\);_("$"* "-"??_);_(@_)</c:formatCode>
                <c:ptCount val="10"/>
                <c:pt idx="0">
                  <c:v>80000</c:v>
                </c:pt>
                <c:pt idx="1">
                  <c:v>110000</c:v>
                </c:pt>
                <c:pt idx="2">
                  <c:v>130000</c:v>
                </c:pt>
                <c:pt idx="3">
                  <c:v>100000</c:v>
                </c:pt>
                <c:pt idx="4">
                  <c:v>150000</c:v>
                </c:pt>
                <c:pt idx="5">
                  <c:v>120000</c:v>
                </c:pt>
                <c:pt idx="6">
                  <c:v>100000</c:v>
                </c:pt>
                <c:pt idx="7">
                  <c:v>70000</c:v>
                </c:pt>
                <c:pt idx="8">
                  <c:v>60000</c:v>
                </c:pt>
                <c:pt idx="9">
                  <c:v>130000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71B7-42A9-9195-4D7417E0274A}"/>
            </c:ext>
          </c:extLst>
        </c:ser>
        <c:ser>
          <c:idx val="4"/>
          <c:order val="4"/>
          <c:tx>
            <c:strRef>
              <c:f>'Projected Project Profitability'!$H$20</c:f>
              <c:strCache>
                <c:ptCount val="1"/>
                <c:pt idx="0">
                  <c:v>2027</c:v>
                </c:pt>
              </c:strCache>
            </c:strRef>
          </c:tx>
          <c:spPr>
            <a:solidFill>
              <a:srgbClr val="FFE599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'Projected Project Profitability'!$C$21:$C$30</c:f>
              <c:strCache>
                <c:ptCount val="10"/>
                <c:pt idx="0">
                  <c:v>Pre-construction</c:v>
                </c:pt>
                <c:pt idx="1">
                  <c:v>Foundation</c:v>
                </c:pt>
                <c:pt idx="2">
                  <c:v>Structural Framing</c:v>
                </c:pt>
                <c:pt idx="3">
                  <c:v>Exterior Finishes</c:v>
                </c:pt>
                <c:pt idx="4">
                  <c:v>Interior Finishes</c:v>
                </c:pt>
                <c:pt idx="5">
                  <c:v>Mecahnical Systems</c:v>
                </c:pt>
                <c:pt idx="6">
                  <c:v>Electrical Systems</c:v>
                </c:pt>
                <c:pt idx="7">
                  <c:v>Site Work and Landscaping</c:v>
                </c:pt>
                <c:pt idx="8">
                  <c:v>Utilities Installation</c:v>
                </c:pt>
                <c:pt idx="9">
                  <c:v>Project Management</c:v>
                </c:pt>
              </c:strCache>
            </c:strRef>
          </c:cat>
          <c:val>
            <c:numRef>
              <c:f>'Projected Project Profitability'!$H$21:$H$30</c:f>
              <c:numCache>
                <c:formatCode>_("$"* #,##0.00_);_("$"* \(#,##0.00\);_("$"* "-"??_);_(@_)</c:formatCode>
                <c:ptCount val="10"/>
                <c:pt idx="0">
                  <c:v>90000</c:v>
                </c:pt>
                <c:pt idx="1">
                  <c:v>120000</c:v>
                </c:pt>
                <c:pt idx="2">
                  <c:v>140000</c:v>
                </c:pt>
                <c:pt idx="3">
                  <c:v>110000</c:v>
                </c:pt>
                <c:pt idx="4">
                  <c:v>160000</c:v>
                </c:pt>
                <c:pt idx="5">
                  <c:v>130000</c:v>
                </c:pt>
                <c:pt idx="6">
                  <c:v>110000</c:v>
                </c:pt>
                <c:pt idx="7">
                  <c:v>80000</c:v>
                </c:pt>
                <c:pt idx="8">
                  <c:v>70000</c:v>
                </c:pt>
                <c:pt idx="9">
                  <c:v>140000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71B7-42A9-9195-4D7417E027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55777783"/>
        <c:axId val="1923301743"/>
        <c:axId val="0"/>
      </c:bar3DChart>
      <c:catAx>
        <c:axId val="15557777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PH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6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23301743"/>
        <c:crosses val="autoZero"/>
        <c:auto val="1"/>
        <c:lblAlgn val="ctr"/>
        <c:lblOffset val="100"/>
        <c:noMultiLvlLbl val="1"/>
      </c:catAx>
      <c:valAx>
        <c:axId val="19233017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PH"/>
              </a:p>
            </c:rich>
          </c:tx>
          <c:overlay val="0"/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55777783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 lvl="0">
              <a:defRPr sz="2000" b="1">
                <a:solidFill>
                  <a:srgbClr val="000000"/>
                </a:solidFill>
                <a:latin typeface="Arial"/>
              </a:defRPr>
            </a:pPr>
            <a:r>
              <a:rPr lang="en-PH" sz="2000" b="1">
                <a:solidFill>
                  <a:srgbClr val="000000"/>
                </a:solidFill>
                <a:latin typeface="Arial"/>
              </a:rPr>
              <a:t>2025</a:t>
            </a:r>
          </a:p>
        </c:rich>
      </c:tx>
      <c:overlay val="0"/>
    </c:title>
    <c:autoTitleDeleted val="0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'Projected Project Profitability'!$F$20</c:f>
              <c:strCache>
                <c:ptCount val="1"/>
                <c:pt idx="0">
                  <c:v>2025</c:v>
                </c:pt>
              </c:strCache>
            </c:strRef>
          </c:tx>
          <c:dPt>
            <c:idx val="0"/>
            <c:bubble3D val="0"/>
            <c:spPr>
              <a:solidFill>
                <a:srgbClr val="7F6000"/>
              </a:solidFill>
            </c:spPr>
            <c:extLst>
              <c:ext xmlns:c16="http://schemas.microsoft.com/office/drawing/2014/chart" uri="{C3380CC4-5D6E-409C-BE32-E72D297353CC}">
                <c16:uniqueId val="{00000001-B9C4-4989-B7F0-B547D0B4E780}"/>
              </c:ext>
            </c:extLst>
          </c:dPt>
          <c:dPt>
            <c:idx val="1"/>
            <c:bubble3D val="0"/>
            <c:spPr>
              <a:solidFill>
                <a:srgbClr val="BF9000"/>
              </a:solidFill>
            </c:spPr>
            <c:extLst>
              <c:ext xmlns:c16="http://schemas.microsoft.com/office/drawing/2014/chart" uri="{C3380CC4-5D6E-409C-BE32-E72D297353CC}">
                <c16:uniqueId val="{00000003-B9C4-4989-B7F0-B547D0B4E780}"/>
              </c:ext>
            </c:extLst>
          </c:dPt>
          <c:dPt>
            <c:idx val="2"/>
            <c:bubble3D val="0"/>
            <c:spPr>
              <a:solidFill>
                <a:srgbClr val="F1C232"/>
              </a:solidFill>
            </c:spPr>
            <c:extLst>
              <c:ext xmlns:c16="http://schemas.microsoft.com/office/drawing/2014/chart" uri="{C3380CC4-5D6E-409C-BE32-E72D297353CC}">
                <c16:uniqueId val="{00000005-B9C4-4989-B7F0-B547D0B4E780}"/>
              </c:ext>
            </c:extLst>
          </c:dPt>
          <c:dPt>
            <c:idx val="3"/>
            <c:bubble3D val="0"/>
            <c:spPr>
              <a:solidFill>
                <a:srgbClr val="FFD966"/>
              </a:solidFill>
            </c:spPr>
            <c:extLst>
              <c:ext xmlns:c16="http://schemas.microsoft.com/office/drawing/2014/chart" uri="{C3380CC4-5D6E-409C-BE32-E72D297353CC}">
                <c16:uniqueId val="{00000007-B9C4-4989-B7F0-B547D0B4E780}"/>
              </c:ext>
            </c:extLst>
          </c:dPt>
          <c:dPt>
            <c:idx val="4"/>
            <c:bubble3D val="0"/>
            <c:spPr>
              <a:solidFill>
                <a:srgbClr val="FFE599"/>
              </a:solidFill>
            </c:spPr>
            <c:extLst>
              <c:ext xmlns:c16="http://schemas.microsoft.com/office/drawing/2014/chart" uri="{C3380CC4-5D6E-409C-BE32-E72D297353CC}">
                <c16:uniqueId val="{00000009-B9C4-4989-B7F0-B547D0B4E780}"/>
              </c:ext>
            </c:extLst>
          </c:dPt>
          <c:dPt>
            <c:idx val="5"/>
            <c:bubble3D val="0"/>
            <c:spPr>
              <a:solidFill>
                <a:srgbClr val="FFF2CC"/>
              </a:solidFill>
            </c:spPr>
            <c:extLst>
              <c:ext xmlns:c16="http://schemas.microsoft.com/office/drawing/2014/chart" uri="{C3380CC4-5D6E-409C-BE32-E72D297353CC}">
                <c16:uniqueId val="{0000000B-B9C4-4989-B7F0-B547D0B4E780}"/>
              </c:ext>
            </c:extLst>
          </c:dPt>
          <c:dPt>
            <c:idx val="6"/>
            <c:bubble3D val="0"/>
            <c:spPr>
              <a:solidFill>
                <a:srgbClr val="A5904D"/>
              </a:solidFill>
            </c:spPr>
            <c:extLst>
              <c:ext xmlns:c16="http://schemas.microsoft.com/office/drawing/2014/chart" uri="{C3380CC4-5D6E-409C-BE32-E72D297353CC}">
                <c16:uniqueId val="{0000000D-B9C4-4989-B7F0-B547D0B4E780}"/>
              </c:ext>
            </c:extLst>
          </c:dPt>
          <c:dPt>
            <c:idx val="7"/>
            <c:bubble3D val="0"/>
            <c:spPr>
              <a:solidFill>
                <a:srgbClr val="D2B14D"/>
              </a:solidFill>
            </c:spPr>
            <c:extLst>
              <c:ext xmlns:c16="http://schemas.microsoft.com/office/drawing/2014/chart" uri="{C3380CC4-5D6E-409C-BE32-E72D297353CC}">
                <c16:uniqueId val="{0000000F-B9C4-4989-B7F0-B547D0B4E780}"/>
              </c:ext>
            </c:extLst>
          </c:dPt>
          <c:dPt>
            <c:idx val="8"/>
            <c:bubble3D val="0"/>
            <c:spPr>
              <a:solidFill>
                <a:srgbClr val="F5D470"/>
              </a:solidFill>
            </c:spPr>
            <c:extLst>
              <c:ext xmlns:c16="http://schemas.microsoft.com/office/drawing/2014/chart" uri="{C3380CC4-5D6E-409C-BE32-E72D297353CC}">
                <c16:uniqueId val="{00000011-B9C4-4989-B7F0-B547D0B4E780}"/>
              </c:ext>
            </c:extLst>
          </c:dPt>
          <c:dPt>
            <c:idx val="9"/>
            <c:bubble3D val="0"/>
            <c:spPr>
              <a:solidFill>
                <a:srgbClr val="FFE494"/>
              </a:solidFill>
            </c:spPr>
            <c:extLst>
              <c:ext xmlns:c16="http://schemas.microsoft.com/office/drawing/2014/chart" uri="{C3380CC4-5D6E-409C-BE32-E72D297353CC}">
                <c16:uniqueId val="{00000013-B9C4-4989-B7F0-B547D0B4E780}"/>
              </c:ext>
            </c:extLst>
          </c:dPt>
          <c:cat>
            <c:strRef>
              <c:f>'Projected Project Profitability'!$C$21:$C$30</c:f>
              <c:strCache>
                <c:ptCount val="10"/>
                <c:pt idx="0">
                  <c:v>Pre-construction</c:v>
                </c:pt>
                <c:pt idx="1">
                  <c:v>Foundation</c:v>
                </c:pt>
                <c:pt idx="2">
                  <c:v>Structural Framing</c:v>
                </c:pt>
                <c:pt idx="3">
                  <c:v>Exterior Finishes</c:v>
                </c:pt>
                <c:pt idx="4">
                  <c:v>Interior Finishes</c:v>
                </c:pt>
                <c:pt idx="5">
                  <c:v>Mecahnical Systems</c:v>
                </c:pt>
                <c:pt idx="6">
                  <c:v>Electrical Systems</c:v>
                </c:pt>
                <c:pt idx="7">
                  <c:v>Site Work and Landscaping</c:v>
                </c:pt>
                <c:pt idx="8">
                  <c:v>Utilities Installation</c:v>
                </c:pt>
                <c:pt idx="9">
                  <c:v>Project Management</c:v>
                </c:pt>
              </c:strCache>
            </c:strRef>
          </c:cat>
          <c:val>
            <c:numRef>
              <c:f>'Projected Project Profitability'!$F$21:$F$30</c:f>
              <c:numCache>
                <c:formatCode>_("$"* #,##0.00_);_("$"* \(#,##0.00\);_("$"* "-"??_);_(@_)</c:formatCode>
                <c:ptCount val="10"/>
                <c:pt idx="0">
                  <c:v>70000</c:v>
                </c:pt>
                <c:pt idx="1">
                  <c:v>100000</c:v>
                </c:pt>
                <c:pt idx="2">
                  <c:v>120000</c:v>
                </c:pt>
                <c:pt idx="3">
                  <c:v>90000</c:v>
                </c:pt>
                <c:pt idx="4">
                  <c:v>140000</c:v>
                </c:pt>
                <c:pt idx="5">
                  <c:v>110000</c:v>
                </c:pt>
                <c:pt idx="6">
                  <c:v>90000</c:v>
                </c:pt>
                <c:pt idx="7">
                  <c:v>60000</c:v>
                </c:pt>
                <c:pt idx="8">
                  <c:v>50000</c:v>
                </c:pt>
                <c:pt idx="9">
                  <c:v>120000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B9C4-4989-B7F0-B547D0B4E7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 lvl="0">
              <a:defRPr sz="2000" b="1">
                <a:solidFill>
                  <a:srgbClr val="000000"/>
                </a:solidFill>
                <a:latin typeface="Arial"/>
              </a:defRPr>
            </a:pPr>
            <a:r>
              <a:rPr lang="en-PH" sz="2000" b="1">
                <a:solidFill>
                  <a:srgbClr val="000000"/>
                </a:solidFill>
                <a:latin typeface="Arial"/>
              </a:rPr>
              <a:t>2026</a:t>
            </a:r>
          </a:p>
        </c:rich>
      </c:tx>
      <c:overlay val="0"/>
    </c:title>
    <c:autoTitleDeleted val="0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'Projected Project Profitability'!$G$20</c:f>
              <c:strCache>
                <c:ptCount val="1"/>
                <c:pt idx="0">
                  <c:v>2026</c:v>
                </c:pt>
              </c:strCache>
            </c:strRef>
          </c:tx>
          <c:dPt>
            <c:idx val="0"/>
            <c:bubble3D val="0"/>
            <c:spPr>
              <a:solidFill>
                <a:srgbClr val="7F6000"/>
              </a:solidFill>
            </c:spPr>
            <c:extLst>
              <c:ext xmlns:c16="http://schemas.microsoft.com/office/drawing/2014/chart" uri="{C3380CC4-5D6E-409C-BE32-E72D297353CC}">
                <c16:uniqueId val="{00000001-F583-4D3E-A477-151FD5E2924F}"/>
              </c:ext>
            </c:extLst>
          </c:dPt>
          <c:dPt>
            <c:idx val="1"/>
            <c:bubble3D val="0"/>
            <c:spPr>
              <a:solidFill>
                <a:srgbClr val="BF9000"/>
              </a:solidFill>
            </c:spPr>
            <c:extLst>
              <c:ext xmlns:c16="http://schemas.microsoft.com/office/drawing/2014/chart" uri="{C3380CC4-5D6E-409C-BE32-E72D297353CC}">
                <c16:uniqueId val="{00000003-F583-4D3E-A477-151FD5E2924F}"/>
              </c:ext>
            </c:extLst>
          </c:dPt>
          <c:dPt>
            <c:idx val="2"/>
            <c:bubble3D val="0"/>
            <c:spPr>
              <a:solidFill>
                <a:srgbClr val="F1C232"/>
              </a:solidFill>
            </c:spPr>
            <c:extLst>
              <c:ext xmlns:c16="http://schemas.microsoft.com/office/drawing/2014/chart" uri="{C3380CC4-5D6E-409C-BE32-E72D297353CC}">
                <c16:uniqueId val="{00000005-F583-4D3E-A477-151FD5E2924F}"/>
              </c:ext>
            </c:extLst>
          </c:dPt>
          <c:dPt>
            <c:idx val="3"/>
            <c:bubble3D val="0"/>
            <c:spPr>
              <a:solidFill>
                <a:srgbClr val="FFD966"/>
              </a:solidFill>
            </c:spPr>
            <c:extLst>
              <c:ext xmlns:c16="http://schemas.microsoft.com/office/drawing/2014/chart" uri="{C3380CC4-5D6E-409C-BE32-E72D297353CC}">
                <c16:uniqueId val="{00000007-F583-4D3E-A477-151FD5E2924F}"/>
              </c:ext>
            </c:extLst>
          </c:dPt>
          <c:dPt>
            <c:idx val="4"/>
            <c:bubble3D val="0"/>
            <c:spPr>
              <a:solidFill>
                <a:srgbClr val="FFE599"/>
              </a:solidFill>
            </c:spPr>
            <c:extLst>
              <c:ext xmlns:c16="http://schemas.microsoft.com/office/drawing/2014/chart" uri="{C3380CC4-5D6E-409C-BE32-E72D297353CC}">
                <c16:uniqueId val="{00000009-F583-4D3E-A477-151FD5E2924F}"/>
              </c:ext>
            </c:extLst>
          </c:dPt>
          <c:dPt>
            <c:idx val="5"/>
            <c:bubble3D val="0"/>
            <c:spPr>
              <a:solidFill>
                <a:srgbClr val="FFF2CC"/>
              </a:solidFill>
            </c:spPr>
            <c:extLst>
              <c:ext xmlns:c16="http://schemas.microsoft.com/office/drawing/2014/chart" uri="{C3380CC4-5D6E-409C-BE32-E72D297353CC}">
                <c16:uniqueId val="{0000000B-F583-4D3E-A477-151FD5E2924F}"/>
              </c:ext>
            </c:extLst>
          </c:dPt>
          <c:dPt>
            <c:idx val="6"/>
            <c:bubble3D val="0"/>
            <c:spPr>
              <a:solidFill>
                <a:srgbClr val="A5904D"/>
              </a:solidFill>
            </c:spPr>
            <c:extLst>
              <c:ext xmlns:c16="http://schemas.microsoft.com/office/drawing/2014/chart" uri="{C3380CC4-5D6E-409C-BE32-E72D297353CC}">
                <c16:uniqueId val="{0000000D-F583-4D3E-A477-151FD5E2924F}"/>
              </c:ext>
            </c:extLst>
          </c:dPt>
          <c:dPt>
            <c:idx val="7"/>
            <c:bubble3D val="0"/>
            <c:spPr>
              <a:solidFill>
                <a:srgbClr val="D2B14D"/>
              </a:solidFill>
            </c:spPr>
            <c:extLst>
              <c:ext xmlns:c16="http://schemas.microsoft.com/office/drawing/2014/chart" uri="{C3380CC4-5D6E-409C-BE32-E72D297353CC}">
                <c16:uniqueId val="{0000000F-F583-4D3E-A477-151FD5E2924F}"/>
              </c:ext>
            </c:extLst>
          </c:dPt>
          <c:dPt>
            <c:idx val="8"/>
            <c:bubble3D val="0"/>
            <c:spPr>
              <a:solidFill>
                <a:srgbClr val="F5D470"/>
              </a:solidFill>
            </c:spPr>
            <c:extLst>
              <c:ext xmlns:c16="http://schemas.microsoft.com/office/drawing/2014/chart" uri="{C3380CC4-5D6E-409C-BE32-E72D297353CC}">
                <c16:uniqueId val="{00000011-F583-4D3E-A477-151FD5E2924F}"/>
              </c:ext>
            </c:extLst>
          </c:dPt>
          <c:dPt>
            <c:idx val="9"/>
            <c:bubble3D val="0"/>
            <c:spPr>
              <a:solidFill>
                <a:srgbClr val="FFE494"/>
              </a:solidFill>
            </c:spPr>
            <c:extLst>
              <c:ext xmlns:c16="http://schemas.microsoft.com/office/drawing/2014/chart" uri="{C3380CC4-5D6E-409C-BE32-E72D297353CC}">
                <c16:uniqueId val="{00000013-F583-4D3E-A477-151FD5E2924F}"/>
              </c:ext>
            </c:extLst>
          </c:dPt>
          <c:cat>
            <c:strRef>
              <c:f>'Projected Project Profitability'!$C$21:$C$30</c:f>
              <c:strCache>
                <c:ptCount val="10"/>
                <c:pt idx="0">
                  <c:v>Pre-construction</c:v>
                </c:pt>
                <c:pt idx="1">
                  <c:v>Foundation</c:v>
                </c:pt>
                <c:pt idx="2">
                  <c:v>Structural Framing</c:v>
                </c:pt>
                <c:pt idx="3">
                  <c:v>Exterior Finishes</c:v>
                </c:pt>
                <c:pt idx="4">
                  <c:v>Interior Finishes</c:v>
                </c:pt>
                <c:pt idx="5">
                  <c:v>Mecahnical Systems</c:v>
                </c:pt>
                <c:pt idx="6">
                  <c:v>Electrical Systems</c:v>
                </c:pt>
                <c:pt idx="7">
                  <c:v>Site Work and Landscaping</c:v>
                </c:pt>
                <c:pt idx="8">
                  <c:v>Utilities Installation</c:v>
                </c:pt>
                <c:pt idx="9">
                  <c:v>Project Management</c:v>
                </c:pt>
              </c:strCache>
            </c:strRef>
          </c:cat>
          <c:val>
            <c:numRef>
              <c:f>'Projected Project Profitability'!$G$21:$G$30</c:f>
              <c:numCache>
                <c:formatCode>_("$"* #,##0.00_);_("$"* \(#,##0.00\);_("$"* "-"??_);_(@_)</c:formatCode>
                <c:ptCount val="10"/>
                <c:pt idx="0">
                  <c:v>80000</c:v>
                </c:pt>
                <c:pt idx="1">
                  <c:v>110000</c:v>
                </c:pt>
                <c:pt idx="2">
                  <c:v>130000</c:v>
                </c:pt>
                <c:pt idx="3">
                  <c:v>100000</c:v>
                </c:pt>
                <c:pt idx="4">
                  <c:v>150000</c:v>
                </c:pt>
                <c:pt idx="5">
                  <c:v>120000</c:v>
                </c:pt>
                <c:pt idx="6">
                  <c:v>100000</c:v>
                </c:pt>
                <c:pt idx="7">
                  <c:v>70000</c:v>
                </c:pt>
                <c:pt idx="8">
                  <c:v>60000</c:v>
                </c:pt>
                <c:pt idx="9">
                  <c:v>130000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F583-4D3E-A477-151FD5E292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layout>
        <c:manualLayout>
          <c:xMode val="edge"/>
          <c:yMode val="edge"/>
          <c:x val="0.67430917289185011"/>
          <c:y val="0.23077481485817991"/>
          <c:w val="0.31429481571213852"/>
          <c:h val="0.69706212374010867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 lvl="0">
              <a:defRPr sz="2000" b="1">
                <a:solidFill>
                  <a:srgbClr val="000000"/>
                </a:solidFill>
                <a:latin typeface="Arial"/>
              </a:defRPr>
            </a:pPr>
            <a:r>
              <a:rPr lang="en-PH" sz="2000" b="1">
                <a:solidFill>
                  <a:srgbClr val="000000"/>
                </a:solidFill>
                <a:latin typeface="Arial"/>
              </a:rPr>
              <a:t>2027</a:t>
            </a:r>
          </a:p>
        </c:rich>
      </c:tx>
      <c:overlay val="0"/>
    </c:title>
    <c:autoTitleDeleted val="0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'Projected Project Profitability'!$H$20</c:f>
              <c:strCache>
                <c:ptCount val="1"/>
                <c:pt idx="0">
                  <c:v>2027</c:v>
                </c:pt>
              </c:strCache>
            </c:strRef>
          </c:tx>
          <c:dPt>
            <c:idx val="0"/>
            <c:bubble3D val="0"/>
            <c:spPr>
              <a:solidFill>
                <a:srgbClr val="7F6000"/>
              </a:solidFill>
            </c:spPr>
            <c:extLst>
              <c:ext xmlns:c16="http://schemas.microsoft.com/office/drawing/2014/chart" uri="{C3380CC4-5D6E-409C-BE32-E72D297353CC}">
                <c16:uniqueId val="{00000001-6854-4F5B-AFAA-8FBC3701D9EC}"/>
              </c:ext>
            </c:extLst>
          </c:dPt>
          <c:dPt>
            <c:idx val="1"/>
            <c:bubble3D val="0"/>
            <c:spPr>
              <a:solidFill>
                <a:srgbClr val="BF9000"/>
              </a:solidFill>
            </c:spPr>
            <c:extLst>
              <c:ext xmlns:c16="http://schemas.microsoft.com/office/drawing/2014/chart" uri="{C3380CC4-5D6E-409C-BE32-E72D297353CC}">
                <c16:uniqueId val="{00000003-6854-4F5B-AFAA-8FBC3701D9EC}"/>
              </c:ext>
            </c:extLst>
          </c:dPt>
          <c:dPt>
            <c:idx val="2"/>
            <c:bubble3D val="0"/>
            <c:spPr>
              <a:solidFill>
                <a:srgbClr val="F1C232"/>
              </a:solidFill>
            </c:spPr>
            <c:extLst>
              <c:ext xmlns:c16="http://schemas.microsoft.com/office/drawing/2014/chart" uri="{C3380CC4-5D6E-409C-BE32-E72D297353CC}">
                <c16:uniqueId val="{00000005-6854-4F5B-AFAA-8FBC3701D9EC}"/>
              </c:ext>
            </c:extLst>
          </c:dPt>
          <c:dPt>
            <c:idx val="3"/>
            <c:bubble3D val="0"/>
            <c:spPr>
              <a:solidFill>
                <a:srgbClr val="FFD966"/>
              </a:solidFill>
            </c:spPr>
            <c:extLst>
              <c:ext xmlns:c16="http://schemas.microsoft.com/office/drawing/2014/chart" uri="{C3380CC4-5D6E-409C-BE32-E72D297353CC}">
                <c16:uniqueId val="{00000007-6854-4F5B-AFAA-8FBC3701D9EC}"/>
              </c:ext>
            </c:extLst>
          </c:dPt>
          <c:dPt>
            <c:idx val="4"/>
            <c:bubble3D val="0"/>
            <c:spPr>
              <a:solidFill>
                <a:srgbClr val="FFE599"/>
              </a:solidFill>
            </c:spPr>
            <c:extLst>
              <c:ext xmlns:c16="http://schemas.microsoft.com/office/drawing/2014/chart" uri="{C3380CC4-5D6E-409C-BE32-E72D297353CC}">
                <c16:uniqueId val="{00000009-6854-4F5B-AFAA-8FBC3701D9EC}"/>
              </c:ext>
            </c:extLst>
          </c:dPt>
          <c:dPt>
            <c:idx val="5"/>
            <c:bubble3D val="0"/>
            <c:spPr>
              <a:solidFill>
                <a:srgbClr val="FFF2CC"/>
              </a:solidFill>
            </c:spPr>
            <c:extLst>
              <c:ext xmlns:c16="http://schemas.microsoft.com/office/drawing/2014/chart" uri="{C3380CC4-5D6E-409C-BE32-E72D297353CC}">
                <c16:uniqueId val="{0000000B-6854-4F5B-AFAA-8FBC3701D9EC}"/>
              </c:ext>
            </c:extLst>
          </c:dPt>
          <c:dPt>
            <c:idx val="6"/>
            <c:bubble3D val="0"/>
            <c:spPr>
              <a:solidFill>
                <a:srgbClr val="A5904D"/>
              </a:solidFill>
            </c:spPr>
            <c:extLst>
              <c:ext xmlns:c16="http://schemas.microsoft.com/office/drawing/2014/chart" uri="{C3380CC4-5D6E-409C-BE32-E72D297353CC}">
                <c16:uniqueId val="{0000000D-6854-4F5B-AFAA-8FBC3701D9EC}"/>
              </c:ext>
            </c:extLst>
          </c:dPt>
          <c:dPt>
            <c:idx val="7"/>
            <c:bubble3D val="0"/>
            <c:spPr>
              <a:solidFill>
                <a:srgbClr val="D2B14D"/>
              </a:solidFill>
            </c:spPr>
            <c:extLst>
              <c:ext xmlns:c16="http://schemas.microsoft.com/office/drawing/2014/chart" uri="{C3380CC4-5D6E-409C-BE32-E72D297353CC}">
                <c16:uniqueId val="{0000000F-6854-4F5B-AFAA-8FBC3701D9EC}"/>
              </c:ext>
            </c:extLst>
          </c:dPt>
          <c:dPt>
            <c:idx val="8"/>
            <c:bubble3D val="0"/>
            <c:spPr>
              <a:solidFill>
                <a:srgbClr val="F5D470"/>
              </a:solidFill>
            </c:spPr>
            <c:extLst>
              <c:ext xmlns:c16="http://schemas.microsoft.com/office/drawing/2014/chart" uri="{C3380CC4-5D6E-409C-BE32-E72D297353CC}">
                <c16:uniqueId val="{00000011-6854-4F5B-AFAA-8FBC3701D9EC}"/>
              </c:ext>
            </c:extLst>
          </c:dPt>
          <c:dPt>
            <c:idx val="9"/>
            <c:bubble3D val="0"/>
            <c:spPr>
              <a:solidFill>
                <a:srgbClr val="FFE494"/>
              </a:solidFill>
            </c:spPr>
            <c:extLst>
              <c:ext xmlns:c16="http://schemas.microsoft.com/office/drawing/2014/chart" uri="{C3380CC4-5D6E-409C-BE32-E72D297353CC}">
                <c16:uniqueId val="{00000013-6854-4F5B-AFAA-8FBC3701D9EC}"/>
              </c:ext>
            </c:extLst>
          </c:dPt>
          <c:cat>
            <c:strRef>
              <c:f>'Projected Project Profitability'!$C$21:$C$30</c:f>
              <c:strCache>
                <c:ptCount val="10"/>
                <c:pt idx="0">
                  <c:v>Pre-construction</c:v>
                </c:pt>
                <c:pt idx="1">
                  <c:v>Foundation</c:v>
                </c:pt>
                <c:pt idx="2">
                  <c:v>Structural Framing</c:v>
                </c:pt>
                <c:pt idx="3">
                  <c:v>Exterior Finishes</c:v>
                </c:pt>
                <c:pt idx="4">
                  <c:v>Interior Finishes</c:v>
                </c:pt>
                <c:pt idx="5">
                  <c:v>Mecahnical Systems</c:v>
                </c:pt>
                <c:pt idx="6">
                  <c:v>Electrical Systems</c:v>
                </c:pt>
                <c:pt idx="7">
                  <c:v>Site Work and Landscaping</c:v>
                </c:pt>
                <c:pt idx="8">
                  <c:v>Utilities Installation</c:v>
                </c:pt>
                <c:pt idx="9">
                  <c:v>Project Management</c:v>
                </c:pt>
              </c:strCache>
            </c:strRef>
          </c:cat>
          <c:val>
            <c:numRef>
              <c:f>'Projected Project Profitability'!$H$21:$H$30</c:f>
              <c:numCache>
                <c:formatCode>_("$"* #,##0.00_);_("$"* \(#,##0.00\);_("$"* "-"??_);_(@_)</c:formatCode>
                <c:ptCount val="10"/>
                <c:pt idx="0">
                  <c:v>90000</c:v>
                </c:pt>
                <c:pt idx="1">
                  <c:v>120000</c:v>
                </c:pt>
                <c:pt idx="2">
                  <c:v>140000</c:v>
                </c:pt>
                <c:pt idx="3">
                  <c:v>110000</c:v>
                </c:pt>
                <c:pt idx="4">
                  <c:v>160000</c:v>
                </c:pt>
                <c:pt idx="5">
                  <c:v>130000</c:v>
                </c:pt>
                <c:pt idx="6">
                  <c:v>110000</c:v>
                </c:pt>
                <c:pt idx="7">
                  <c:v>80000</c:v>
                </c:pt>
                <c:pt idx="8">
                  <c:v>70000</c:v>
                </c:pt>
                <c:pt idx="9">
                  <c:v>140000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6854-4F5B-AFAA-8FBC3701D9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png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104775</xdr:colOff>
      <xdr:row>5</xdr:row>
      <xdr:rowOff>619125</xdr:rowOff>
    </xdr:from>
    <xdr:ext cx="10182225" cy="4438650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</xdr:col>
      <xdr:colOff>38100</xdr:colOff>
      <xdr:row>16</xdr:row>
      <xdr:rowOff>95250</xdr:rowOff>
    </xdr:from>
    <xdr:ext cx="4114800" cy="2562225"/>
    <xdr:graphicFrame macro="">
      <xdr:nvGraphicFramePr>
        <xdr:cNvPr id="3" name="Chart 2" titl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4</xdr:col>
      <xdr:colOff>0</xdr:colOff>
      <xdr:row>16</xdr:row>
      <xdr:rowOff>114300</xdr:rowOff>
    </xdr:from>
    <xdr:ext cx="4067175" cy="2562225"/>
    <xdr:graphicFrame macro="">
      <xdr:nvGraphicFramePr>
        <xdr:cNvPr id="4" name="Chart 3" title="Char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4</xdr:col>
      <xdr:colOff>0</xdr:colOff>
      <xdr:row>23</xdr:row>
      <xdr:rowOff>57150</xdr:rowOff>
    </xdr:from>
    <xdr:ext cx="8124825" cy="5324475"/>
    <xdr:graphicFrame macro="">
      <xdr:nvGraphicFramePr>
        <xdr:cNvPr id="5" name="Chart 4" title="Chart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5</xdr:col>
      <xdr:colOff>2066926</xdr:colOff>
      <xdr:row>16</xdr:row>
      <xdr:rowOff>123825</xdr:rowOff>
    </xdr:from>
    <xdr:ext cx="3990974" cy="2562225"/>
    <xdr:graphicFrame macro="">
      <xdr:nvGraphicFramePr>
        <xdr:cNvPr id="6" name="Chart 5" title="Chart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2</xdr:col>
      <xdr:colOff>9525</xdr:colOff>
      <xdr:row>23</xdr:row>
      <xdr:rowOff>85725</xdr:rowOff>
    </xdr:from>
    <xdr:ext cx="4124325" cy="2562225"/>
    <xdr:graphicFrame macro="">
      <xdr:nvGraphicFramePr>
        <xdr:cNvPr id="7" name="Chart 6" title="Chart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  <xdr:oneCellAnchor>
    <xdr:from>
      <xdr:col>2</xdr:col>
      <xdr:colOff>19050</xdr:colOff>
      <xdr:row>29</xdr:row>
      <xdr:rowOff>0</xdr:rowOff>
    </xdr:from>
    <xdr:ext cx="4095750" cy="2562225"/>
    <xdr:graphicFrame macro="">
      <xdr:nvGraphicFramePr>
        <xdr:cNvPr id="8" name="Chart 7" title="Chart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 fLocksWithSheet="0"/>
  </xdr:oneCellAnchor>
  <xdr:oneCellAnchor>
    <xdr:from>
      <xdr:col>5</xdr:col>
      <xdr:colOff>619125</xdr:colOff>
      <xdr:row>1</xdr:row>
      <xdr:rowOff>133350</xdr:rowOff>
    </xdr:from>
    <xdr:ext cx="1504950" cy="1238250"/>
    <xdr:pic>
      <xdr:nvPicPr>
        <xdr:cNvPr id="9" name="image2.png" title="Imag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1504950</xdr:colOff>
      <xdr:row>1</xdr:row>
      <xdr:rowOff>152400</xdr:rowOff>
    </xdr:from>
    <xdr:ext cx="1409700" cy="1152525"/>
    <xdr:pic>
      <xdr:nvPicPr>
        <xdr:cNvPr id="2" name="image2.png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182225" cy="412432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ell%20Core%20i5%2011thGen\Documents\Projected%20Project%20Profitability%20by%20Phase\Activity%20Templat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ivity Templat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7F6000"/>
      </a:accent1>
      <a:accent2>
        <a:srgbClr val="BF9000"/>
      </a:accent2>
      <a:accent3>
        <a:srgbClr val="F1C232"/>
      </a:accent3>
      <a:accent4>
        <a:srgbClr val="FFD966"/>
      </a:accent4>
      <a:accent5>
        <a:srgbClr val="FFE599"/>
      </a:accent5>
      <a:accent6>
        <a:srgbClr val="FFF2CC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s://docs.google.com/spreadsheets/d/1fJtCMvXoigfc9dWaKu-HKbVSBFIkUt4-pysPxmCw8Sg/ed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K36"/>
  <sheetViews>
    <sheetView showGridLines="0" tabSelected="1" topLeftCell="A13" zoomScale="40" zoomScaleNormal="40" workbookViewId="0">
      <selection activeCell="U23" sqref="U23"/>
    </sheetView>
  </sheetViews>
  <sheetFormatPr defaultColWidth="12.5703125" defaultRowHeight="15.75" customHeight="1"/>
  <cols>
    <col min="1" max="2" width="3.5703125" customWidth="1"/>
    <col min="3" max="7" width="31.42578125" customWidth="1"/>
    <col min="8" max="8" width="28.42578125" customWidth="1"/>
    <col min="9" max="9" width="31.42578125" customWidth="1"/>
    <col min="10" max="11" width="3.5703125" customWidth="1"/>
  </cols>
  <sheetData>
    <row r="1" spans="1:11" ht="108.75">
      <c r="A1" s="1"/>
      <c r="B1" s="1"/>
      <c r="C1" s="1"/>
      <c r="D1" s="1"/>
      <c r="E1" s="1"/>
      <c r="F1" s="1"/>
      <c r="H1" s="2"/>
      <c r="I1" s="2"/>
      <c r="J1" s="2"/>
      <c r="K1" s="2"/>
    </row>
    <row r="2" spans="1:11" ht="109.5" thickTop="1">
      <c r="A2" s="1"/>
      <c r="B2" s="3"/>
      <c r="C2" s="4"/>
      <c r="D2" s="4"/>
      <c r="E2" s="5"/>
      <c r="F2" s="4"/>
      <c r="G2" s="6"/>
      <c r="H2" s="6"/>
      <c r="I2" s="6"/>
      <c r="J2" s="7"/>
      <c r="K2" s="2"/>
    </row>
    <row r="3" spans="1:11" ht="18.75" customHeight="1">
      <c r="A3" s="1"/>
      <c r="B3" s="8"/>
      <c r="C3" s="69" t="s">
        <v>0</v>
      </c>
      <c r="D3" s="74"/>
      <c r="E3" s="74"/>
      <c r="F3" s="74"/>
      <c r="G3" s="74"/>
      <c r="H3" s="74"/>
      <c r="I3" s="74"/>
      <c r="J3" s="9"/>
      <c r="K3" s="2"/>
    </row>
    <row r="4" spans="1:11" ht="6" customHeight="1">
      <c r="A4" s="1"/>
      <c r="B4" s="8"/>
      <c r="C4" s="11"/>
      <c r="D4" s="11"/>
      <c r="E4" s="11"/>
      <c r="F4" s="11"/>
      <c r="G4" s="11"/>
      <c r="H4" s="11"/>
      <c r="I4" s="11"/>
      <c r="J4" s="12"/>
      <c r="K4" s="1"/>
    </row>
    <row r="5" spans="1:11" ht="1.5" customHeight="1">
      <c r="A5" s="1"/>
      <c r="B5" s="8"/>
      <c r="J5" s="13"/>
      <c r="K5" s="14"/>
    </row>
    <row r="6" spans="1:11" ht="49.5" customHeight="1">
      <c r="A6" s="1"/>
      <c r="B6" s="8"/>
      <c r="C6" s="70" t="s">
        <v>1</v>
      </c>
      <c r="D6" s="75"/>
      <c r="E6" s="75"/>
      <c r="F6" s="75"/>
      <c r="G6" s="75"/>
      <c r="H6" s="75"/>
      <c r="I6" s="75"/>
      <c r="J6" s="12"/>
      <c r="K6" s="1"/>
    </row>
    <row r="7" spans="1:11" ht="36.75" customHeight="1">
      <c r="A7" s="1"/>
      <c r="B7" s="8"/>
      <c r="C7" s="15" t="str">
        <f>'Projected Project Profitability'!C21</f>
        <v>Pre-construction</v>
      </c>
      <c r="D7" s="16">
        <f>'Projected Project Profitability'!I21</f>
        <v>350000</v>
      </c>
      <c r="F7" s="11"/>
      <c r="G7" s="11"/>
      <c r="H7" s="11"/>
      <c r="I7" s="11"/>
      <c r="J7" s="17"/>
      <c r="K7" s="10"/>
    </row>
    <row r="8" spans="1:11" ht="36.75" customHeight="1">
      <c r="A8" s="1"/>
      <c r="B8" s="8"/>
      <c r="C8" s="15" t="str">
        <f>'Projected Project Profitability'!C22</f>
        <v>Foundation</v>
      </c>
      <c r="D8" s="16">
        <f>'Projected Project Profitability'!I22</f>
        <v>500000</v>
      </c>
      <c r="E8" s="10"/>
      <c r="F8" s="10"/>
      <c r="G8" s="10"/>
      <c r="H8" s="10"/>
      <c r="I8" s="10"/>
      <c r="J8" s="17"/>
      <c r="K8" s="10"/>
    </row>
    <row r="9" spans="1:11" ht="36.75" customHeight="1">
      <c r="A9" s="18"/>
      <c r="B9" s="19"/>
      <c r="C9" s="15" t="str">
        <f>'Projected Project Profitability'!C23</f>
        <v>Structural Framing</v>
      </c>
      <c r="D9" s="16">
        <f>'Projected Project Profitability'!I23</f>
        <v>600000</v>
      </c>
      <c r="E9" s="10"/>
      <c r="F9" s="10"/>
      <c r="G9" s="10"/>
      <c r="H9" s="10"/>
      <c r="I9" s="10"/>
      <c r="J9" s="17"/>
      <c r="K9" s="10"/>
    </row>
    <row r="10" spans="1:11" ht="36.75" customHeight="1">
      <c r="A10" s="20"/>
      <c r="B10" s="21"/>
      <c r="C10" s="15" t="str">
        <f>'Projected Project Profitability'!C24</f>
        <v>Exterior Finishes</v>
      </c>
      <c r="D10" s="16">
        <f>'Projected Project Profitability'!I24</f>
        <v>450000</v>
      </c>
      <c r="E10" s="10"/>
      <c r="F10" s="10"/>
      <c r="G10" s="10"/>
      <c r="H10" s="10"/>
      <c r="I10" s="10"/>
      <c r="J10" s="17"/>
      <c r="K10" s="10"/>
    </row>
    <row r="11" spans="1:11" ht="36.75" customHeight="1">
      <c r="A11" s="20"/>
      <c r="B11" s="21"/>
      <c r="C11" s="15" t="str">
        <f>'Projected Project Profitability'!C25</f>
        <v>Interior Finishes</v>
      </c>
      <c r="D11" s="16">
        <f>'Projected Project Profitability'!I25</f>
        <v>700000</v>
      </c>
      <c r="E11" s="10"/>
      <c r="F11" s="10"/>
      <c r="H11" s="10"/>
      <c r="I11" s="10"/>
      <c r="J11" s="17"/>
      <c r="K11" s="10"/>
    </row>
    <row r="12" spans="1:11" ht="36.75" customHeight="1">
      <c r="A12" s="20"/>
      <c r="B12" s="21"/>
      <c r="C12" s="15" t="str">
        <f>'Projected Project Profitability'!C26</f>
        <v>Mecahnical Systems</v>
      </c>
      <c r="D12" s="16">
        <f>'Projected Project Profitability'!I26</f>
        <v>550000</v>
      </c>
      <c r="E12" s="10"/>
      <c r="F12" s="10"/>
      <c r="G12" s="10"/>
      <c r="H12" s="10"/>
      <c r="I12" s="10"/>
      <c r="J12" s="17"/>
      <c r="K12" s="10"/>
    </row>
    <row r="13" spans="1:11" ht="36.75" customHeight="1">
      <c r="A13" s="18"/>
      <c r="B13" s="19"/>
      <c r="C13" s="15" t="str">
        <f>'Projected Project Profitability'!C27</f>
        <v>Electrical Systems</v>
      </c>
      <c r="D13" s="16">
        <f>'Projected Project Profitability'!I27</f>
        <v>450000</v>
      </c>
      <c r="E13" s="10"/>
      <c r="F13" s="10"/>
      <c r="G13" s="10"/>
      <c r="H13" s="10"/>
      <c r="I13" s="10"/>
      <c r="J13" s="17"/>
      <c r="K13" s="10"/>
    </row>
    <row r="14" spans="1:11" ht="36.75" customHeight="1">
      <c r="A14" s="20"/>
      <c r="B14" s="21"/>
      <c r="C14" s="15" t="str">
        <f>'Projected Project Profitability'!C28</f>
        <v>Site Work and Landscaping</v>
      </c>
      <c r="D14" s="16">
        <f>'Projected Project Profitability'!I28</f>
        <v>300000</v>
      </c>
      <c r="E14" s="10"/>
      <c r="F14" s="10"/>
      <c r="G14" s="10"/>
      <c r="H14" s="10"/>
      <c r="I14" s="10"/>
      <c r="J14" s="17"/>
      <c r="K14" s="10"/>
    </row>
    <row r="15" spans="1:11" ht="36.75" customHeight="1">
      <c r="A15" s="20"/>
      <c r="B15" s="21"/>
      <c r="C15" s="15" t="str">
        <f>'Projected Project Profitability'!C29</f>
        <v>Utilities Installation</v>
      </c>
      <c r="D15" s="16">
        <f>'Projected Project Profitability'!I29</f>
        <v>250000</v>
      </c>
      <c r="E15" s="10"/>
      <c r="F15" s="10"/>
      <c r="G15" s="10"/>
      <c r="H15" s="10"/>
      <c r="I15" s="10"/>
      <c r="J15" s="17"/>
      <c r="K15" s="10"/>
    </row>
    <row r="16" spans="1:11" ht="36.75" customHeight="1">
      <c r="A16" s="20"/>
      <c r="B16" s="21"/>
      <c r="C16" s="15" t="str">
        <f>'Projected Project Profitability'!C30</f>
        <v>Project Management</v>
      </c>
      <c r="D16" s="16">
        <f>'Projected Project Profitability'!I30</f>
        <v>600000</v>
      </c>
      <c r="E16" s="10"/>
      <c r="F16" s="10"/>
      <c r="G16" s="10"/>
      <c r="H16" s="10"/>
      <c r="I16" s="10"/>
      <c r="J16" s="17"/>
      <c r="K16" s="10"/>
    </row>
    <row r="17" spans="1:11" ht="36.75" customHeight="1">
      <c r="A17" s="18"/>
      <c r="B17" s="19"/>
      <c r="D17" s="10"/>
      <c r="E17" s="10"/>
      <c r="F17" s="10"/>
      <c r="G17" s="10"/>
      <c r="H17" s="10"/>
      <c r="I17" s="10"/>
      <c r="J17" s="17"/>
      <c r="K17" s="10"/>
    </row>
    <row r="18" spans="1:11" ht="36.75" customHeight="1">
      <c r="A18" s="18"/>
      <c r="B18" s="19"/>
      <c r="C18" s="22">
        <f>'Projected Project Profitability'!C31</f>
        <v>0</v>
      </c>
      <c r="D18" s="10"/>
      <c r="E18" s="10"/>
      <c r="F18" s="10"/>
      <c r="G18" s="10"/>
      <c r="H18" s="10"/>
      <c r="I18" s="71" t="s">
        <v>2</v>
      </c>
      <c r="J18" s="17"/>
      <c r="K18" s="10"/>
    </row>
    <row r="19" spans="1:11" ht="12" customHeight="1">
      <c r="A19" s="18"/>
      <c r="B19" s="19"/>
      <c r="D19" s="10"/>
      <c r="E19" s="10"/>
      <c r="F19" s="10"/>
      <c r="G19" s="10"/>
      <c r="H19" s="10"/>
      <c r="I19" s="74"/>
      <c r="J19" s="17"/>
      <c r="K19" s="10"/>
    </row>
    <row r="20" spans="1:11" ht="18" customHeight="1">
      <c r="A20" s="1"/>
      <c r="B20" s="8"/>
      <c r="C20" s="22">
        <f>'Projected Project Profitability'!C32</f>
        <v>0</v>
      </c>
      <c r="D20" s="10"/>
      <c r="E20" s="10"/>
      <c r="F20" s="10"/>
      <c r="G20" s="10"/>
      <c r="H20" s="10"/>
      <c r="J20" s="17"/>
      <c r="K20" s="10"/>
    </row>
    <row r="21" spans="1:11" ht="36.75" customHeight="1">
      <c r="A21" s="1"/>
      <c r="B21" s="8"/>
      <c r="C21" s="22">
        <f>'Projected Project Profitability'!C33</f>
        <v>0</v>
      </c>
      <c r="D21" s="10"/>
      <c r="E21" s="10"/>
      <c r="F21" s="10"/>
      <c r="G21" s="10"/>
      <c r="H21" s="10"/>
      <c r="I21" s="23">
        <f>'Projected Project Profitability'!D17</f>
        <v>44927</v>
      </c>
      <c r="J21" s="17"/>
      <c r="K21" s="10"/>
    </row>
    <row r="22" spans="1:11" ht="36.75" customHeight="1">
      <c r="A22" s="1"/>
      <c r="B22" s="8"/>
      <c r="C22" s="22">
        <f>'Projected Project Profitability'!C34</f>
        <v>0</v>
      </c>
      <c r="D22" s="10"/>
      <c r="E22" s="10"/>
      <c r="F22" s="10"/>
      <c r="G22" s="10"/>
      <c r="H22" s="10"/>
      <c r="I22" s="24">
        <f>'Projected Project Profitability'!D18</f>
        <v>750000</v>
      </c>
      <c r="J22" s="17"/>
      <c r="K22" s="10"/>
    </row>
    <row r="23" spans="1:11" ht="36.75" customHeight="1">
      <c r="A23" s="1"/>
      <c r="B23" s="8"/>
      <c r="C23" s="22">
        <f>'Projected Project Profitability'!C35</f>
        <v>0</v>
      </c>
      <c r="D23" s="10"/>
      <c r="E23" s="10"/>
      <c r="F23" s="10"/>
      <c r="G23" s="10"/>
      <c r="H23" s="10"/>
      <c r="I23" s="10"/>
      <c r="J23" s="17"/>
      <c r="K23" s="10"/>
    </row>
    <row r="24" spans="1:11" ht="36.75" customHeight="1">
      <c r="A24" s="1"/>
      <c r="B24" s="8"/>
      <c r="C24" s="10"/>
      <c r="D24" s="10"/>
      <c r="E24" s="10"/>
      <c r="F24" s="10"/>
      <c r="G24" s="10"/>
      <c r="H24" s="10"/>
      <c r="I24" s="23">
        <f>'Projected Project Profitability'!E20</f>
        <v>45292</v>
      </c>
      <c r="J24" s="17"/>
      <c r="K24" s="10"/>
    </row>
    <row r="25" spans="1:11" ht="36.75" customHeight="1">
      <c r="A25" s="1"/>
      <c r="B25" s="8"/>
      <c r="C25" s="10"/>
      <c r="D25" s="10"/>
      <c r="E25" s="10"/>
      <c r="F25" s="10"/>
      <c r="G25" s="10"/>
      <c r="H25" s="10"/>
      <c r="I25" s="24">
        <f>'Projected Project Profitability'!E18</f>
        <v>850000</v>
      </c>
      <c r="J25" s="17"/>
      <c r="K25" s="10"/>
    </row>
    <row r="26" spans="1:11" ht="36.75" customHeight="1">
      <c r="A26" s="1"/>
      <c r="B26" s="8"/>
      <c r="C26" s="10"/>
      <c r="D26" s="10"/>
      <c r="E26" s="10"/>
      <c r="F26" s="10"/>
      <c r="G26" s="10"/>
      <c r="H26" s="10"/>
      <c r="I26" s="10"/>
      <c r="J26" s="17"/>
      <c r="K26" s="10"/>
    </row>
    <row r="27" spans="1:11" ht="36.75" customHeight="1">
      <c r="A27" s="1"/>
      <c r="B27" s="8"/>
      <c r="C27" s="10"/>
      <c r="D27" s="10"/>
      <c r="E27" s="10"/>
      <c r="F27" s="10"/>
      <c r="G27" s="10"/>
      <c r="H27" s="10"/>
      <c r="I27" s="23">
        <f>'Projected Project Profitability'!F20</f>
        <v>45658</v>
      </c>
      <c r="J27" s="17"/>
      <c r="K27" s="10"/>
    </row>
    <row r="28" spans="1:11" ht="36.75" customHeight="1">
      <c r="A28" s="1"/>
      <c r="B28" s="8"/>
      <c r="C28" s="10"/>
      <c r="D28" s="10"/>
      <c r="E28" s="10"/>
      <c r="F28" s="10"/>
      <c r="G28" s="10"/>
      <c r="H28" s="10"/>
      <c r="I28" s="24">
        <f>'Projected Project Profitability'!F18</f>
        <v>950000</v>
      </c>
      <c r="J28" s="17"/>
      <c r="K28" s="10"/>
    </row>
    <row r="29" spans="1:11" ht="36.75" customHeight="1">
      <c r="A29" s="1"/>
      <c r="B29" s="8"/>
      <c r="C29" s="10"/>
      <c r="D29" s="10"/>
      <c r="E29" s="10"/>
      <c r="F29" s="10"/>
      <c r="G29" s="10"/>
      <c r="H29" s="10"/>
      <c r="I29" s="10"/>
      <c r="J29" s="17"/>
      <c r="K29" s="10"/>
    </row>
    <row r="30" spans="1:11" ht="36.75" customHeight="1">
      <c r="A30" s="1"/>
      <c r="B30" s="8"/>
      <c r="C30" s="10"/>
      <c r="D30" s="10"/>
      <c r="E30" s="10"/>
      <c r="F30" s="10"/>
      <c r="G30" s="10"/>
      <c r="H30" s="10"/>
      <c r="I30" s="23">
        <f>'Projected Project Profitability'!G20</f>
        <v>46023</v>
      </c>
      <c r="J30" s="17"/>
      <c r="K30" s="10"/>
    </row>
    <row r="31" spans="1:11" ht="36.75" customHeight="1">
      <c r="A31" s="1"/>
      <c r="B31" s="8"/>
      <c r="C31" s="10"/>
      <c r="D31" s="10"/>
      <c r="E31" s="10"/>
      <c r="F31" s="10"/>
      <c r="G31" s="10"/>
      <c r="H31" s="10"/>
      <c r="I31" s="24">
        <f>'Projected Project Profitability'!G18</f>
        <v>1050000</v>
      </c>
      <c r="J31" s="17"/>
      <c r="K31" s="10"/>
    </row>
    <row r="32" spans="1:11" ht="36.75" customHeight="1">
      <c r="A32" s="1"/>
      <c r="B32" s="8"/>
      <c r="C32" s="10"/>
      <c r="D32" s="10"/>
      <c r="E32" s="10"/>
      <c r="F32" s="10"/>
      <c r="G32" s="10"/>
      <c r="H32" s="10"/>
      <c r="I32" s="10"/>
      <c r="J32" s="17"/>
      <c r="K32" s="10"/>
    </row>
    <row r="33" spans="1:11" ht="36.75" customHeight="1">
      <c r="A33" s="1"/>
      <c r="B33" s="8"/>
      <c r="C33" s="10"/>
      <c r="D33" s="10"/>
      <c r="E33" s="10"/>
      <c r="F33" s="10"/>
      <c r="G33" s="10"/>
      <c r="H33" s="10"/>
      <c r="I33" s="23">
        <f>'Projected Project Profitability'!H20</f>
        <v>46388</v>
      </c>
      <c r="J33" s="17"/>
      <c r="K33" s="10"/>
    </row>
    <row r="34" spans="1:11" ht="36.75" customHeight="1">
      <c r="A34" s="1"/>
      <c r="B34" s="8"/>
      <c r="C34" s="10"/>
      <c r="D34" s="10"/>
      <c r="E34" s="10"/>
      <c r="F34" s="10"/>
      <c r="G34" s="10"/>
      <c r="H34" s="10"/>
      <c r="I34" s="24">
        <f>'Projected Project Profitability'!H18</f>
        <v>1150000</v>
      </c>
      <c r="J34" s="17"/>
      <c r="K34" s="10"/>
    </row>
    <row r="35" spans="1:11" ht="36.75" customHeight="1">
      <c r="A35" s="1"/>
      <c r="B35" s="25"/>
      <c r="C35" s="26"/>
      <c r="D35" s="26"/>
      <c r="E35" s="26"/>
      <c r="F35" s="26"/>
      <c r="G35" s="26"/>
      <c r="H35" s="26"/>
      <c r="I35" s="27"/>
      <c r="J35" s="28"/>
      <c r="K35" s="10"/>
    </row>
    <row r="36" spans="1:11" ht="19.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</sheetData>
  <mergeCells count="3">
    <mergeCell ref="C3:I3"/>
    <mergeCell ref="C6:I6"/>
    <mergeCell ref="I18:I19"/>
  </mergeCells>
  <printOptions horizontalCentered="1"/>
  <pageMargins left="0.7" right="0.7" top="0.75" bottom="0.75" header="0" footer="0"/>
  <pageSetup scale="25" pageOrder="overThenDown" orientation="landscape" cellComments="atEnd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110"/>
  <sheetViews>
    <sheetView showGridLines="0" topLeftCell="A25" workbookViewId="0">
      <selection activeCell="E23" sqref="E23"/>
    </sheetView>
  </sheetViews>
  <sheetFormatPr defaultColWidth="12.5703125" defaultRowHeight="15.75" customHeight="1"/>
  <cols>
    <col min="1" max="1" width="3.5703125" customWidth="1"/>
    <col min="2" max="2" width="2.85546875" customWidth="1"/>
    <col min="3" max="3" width="32.42578125" customWidth="1"/>
    <col min="4" max="9" width="21.42578125" customWidth="1"/>
    <col min="10" max="11" width="2.85546875" customWidth="1"/>
  </cols>
  <sheetData>
    <row r="1" spans="1:11" ht="15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</row>
    <row r="2" spans="1:11">
      <c r="A2" s="29"/>
      <c r="B2" s="30"/>
      <c r="C2" s="31"/>
      <c r="D2" s="31"/>
      <c r="E2" s="31"/>
      <c r="F2" s="31"/>
      <c r="G2" s="31"/>
      <c r="H2" s="31"/>
      <c r="I2" s="31"/>
      <c r="J2" s="32"/>
      <c r="K2" s="29"/>
    </row>
    <row r="3" spans="1:11">
      <c r="A3" s="29"/>
      <c r="B3" s="33"/>
      <c r="C3" s="34"/>
      <c r="D3" s="34"/>
      <c r="E3" s="34"/>
      <c r="F3" s="34"/>
      <c r="G3" s="34"/>
      <c r="H3" s="34"/>
      <c r="I3" s="34"/>
      <c r="J3" s="35"/>
      <c r="K3" s="29"/>
    </row>
    <row r="4" spans="1:11">
      <c r="A4" s="29"/>
      <c r="B4" s="33"/>
      <c r="C4" s="34"/>
      <c r="D4" s="34"/>
      <c r="E4" s="34"/>
      <c r="F4" s="34"/>
      <c r="G4" s="34"/>
      <c r="H4" s="34"/>
      <c r="I4" s="34"/>
      <c r="J4" s="35"/>
      <c r="K4" s="29"/>
    </row>
    <row r="5" spans="1:11">
      <c r="A5" s="29"/>
      <c r="B5" s="33"/>
      <c r="C5" s="34"/>
      <c r="D5" s="34"/>
      <c r="E5" s="34"/>
      <c r="F5" s="34"/>
      <c r="G5" s="34"/>
      <c r="H5" s="34"/>
      <c r="I5" s="34"/>
      <c r="J5" s="35"/>
      <c r="K5" s="29"/>
    </row>
    <row r="6" spans="1:11">
      <c r="A6" s="29"/>
      <c r="B6" s="33"/>
      <c r="C6" s="34"/>
      <c r="D6" s="34"/>
      <c r="E6" s="34"/>
      <c r="F6" s="34"/>
      <c r="G6" s="34"/>
      <c r="H6" s="34"/>
      <c r="I6" s="34"/>
      <c r="J6" s="35"/>
      <c r="K6" s="29"/>
    </row>
    <row r="7" spans="1:11">
      <c r="A7" s="29"/>
      <c r="B7" s="33"/>
      <c r="C7" s="34"/>
      <c r="D7" s="34"/>
      <c r="E7" s="34"/>
      <c r="F7" s="34"/>
      <c r="G7" s="34"/>
      <c r="H7" s="34"/>
      <c r="I7" s="34"/>
      <c r="J7" s="35"/>
      <c r="K7" s="29"/>
    </row>
    <row r="8" spans="1:11" ht="15">
      <c r="A8" s="29"/>
      <c r="B8" s="33"/>
      <c r="C8" s="69"/>
      <c r="D8" s="74"/>
      <c r="E8" s="74"/>
      <c r="F8" s="74"/>
      <c r="G8" s="74"/>
      <c r="H8" s="74"/>
      <c r="I8" s="74"/>
      <c r="J8" s="35"/>
      <c r="K8" s="29"/>
    </row>
    <row r="9" spans="1:11" ht="15">
      <c r="A9" s="29"/>
      <c r="B9" s="33"/>
      <c r="C9" s="69" t="s">
        <v>0</v>
      </c>
      <c r="D9" s="74"/>
      <c r="E9" s="74"/>
      <c r="F9" s="74"/>
      <c r="G9" s="74"/>
      <c r="H9" s="74"/>
      <c r="I9" s="74"/>
      <c r="J9" s="35"/>
      <c r="K9" s="29"/>
    </row>
    <row r="10" spans="1:11" ht="15" customHeight="1">
      <c r="A10" s="29"/>
      <c r="B10" s="33"/>
      <c r="C10" s="11"/>
      <c r="D10" s="11"/>
      <c r="E10" s="11"/>
      <c r="F10" s="11"/>
      <c r="G10" s="11"/>
      <c r="H10" s="11"/>
      <c r="I10" s="11"/>
      <c r="J10" s="35"/>
      <c r="K10" s="29"/>
    </row>
    <row r="11" spans="1:11" ht="22.5" customHeight="1">
      <c r="A11" s="29"/>
      <c r="B11" s="33"/>
      <c r="C11" s="36"/>
      <c r="D11" s="36"/>
      <c r="E11" s="36"/>
      <c r="F11" s="36"/>
      <c r="G11" s="36"/>
      <c r="H11" s="36"/>
      <c r="I11" s="36"/>
      <c r="J11" s="35"/>
      <c r="K11" s="29"/>
    </row>
    <row r="12" spans="1:11" ht="22.5" customHeight="1">
      <c r="A12" s="29"/>
      <c r="B12" s="33"/>
      <c r="C12" s="37" t="s">
        <v>3</v>
      </c>
      <c r="D12" s="11"/>
      <c r="E12" s="11"/>
      <c r="F12" s="11"/>
      <c r="I12" s="11"/>
      <c r="J12" s="35"/>
      <c r="K12" s="29"/>
    </row>
    <row r="13" spans="1:11" ht="22.5" customHeight="1">
      <c r="A13" s="29"/>
      <c r="B13" s="33"/>
      <c r="C13" s="11"/>
      <c r="D13" s="11"/>
      <c r="E13" s="11"/>
      <c r="F13" s="11"/>
      <c r="H13" s="11"/>
      <c r="I13" s="11"/>
      <c r="J13" s="35"/>
      <c r="K13" s="29"/>
    </row>
    <row r="14" spans="1:11" ht="22.5" customHeight="1">
      <c r="A14" s="29"/>
      <c r="B14" s="33"/>
      <c r="C14" s="38" t="s">
        <v>4</v>
      </c>
      <c r="D14" s="72"/>
      <c r="E14" s="76"/>
      <c r="F14" s="11"/>
      <c r="G14" s="38" t="s">
        <v>5</v>
      </c>
      <c r="H14" s="72"/>
      <c r="I14" s="76"/>
      <c r="J14" s="35"/>
      <c r="K14" s="29"/>
    </row>
    <row r="15" spans="1:11" ht="3.75" customHeight="1">
      <c r="A15" s="29"/>
      <c r="B15" s="33"/>
      <c r="C15" s="38"/>
      <c r="D15" s="11"/>
      <c r="E15" s="11"/>
      <c r="F15" s="11"/>
      <c r="H15" s="11"/>
      <c r="I15" s="11"/>
      <c r="J15" s="35"/>
      <c r="K15" s="29"/>
    </row>
    <row r="16" spans="1:11" ht="22.5" customHeight="1">
      <c r="A16" s="29"/>
      <c r="B16" s="33"/>
      <c r="C16" s="11"/>
      <c r="D16" s="11"/>
      <c r="E16" s="11"/>
      <c r="F16" s="11"/>
      <c r="H16" s="11"/>
      <c r="I16" s="11"/>
      <c r="J16" s="35"/>
      <c r="K16" s="29"/>
    </row>
    <row r="17" spans="1:11" ht="33.75" customHeight="1">
      <c r="A17" s="29"/>
      <c r="B17" s="33"/>
      <c r="C17" s="39" t="s">
        <v>2</v>
      </c>
      <c r="D17" s="40">
        <f t="shared" ref="D17:H17" si="0">D20</f>
        <v>44927</v>
      </c>
      <c r="E17" s="40">
        <f t="shared" si="0"/>
        <v>45292</v>
      </c>
      <c r="F17" s="40">
        <f t="shared" si="0"/>
        <v>45658</v>
      </c>
      <c r="G17" s="40">
        <f t="shared" si="0"/>
        <v>46023</v>
      </c>
      <c r="H17" s="40">
        <f t="shared" si="0"/>
        <v>46388</v>
      </c>
      <c r="I17" s="41" t="s">
        <v>6</v>
      </c>
      <c r="J17" s="35"/>
      <c r="K17" s="29"/>
    </row>
    <row r="18" spans="1:11" ht="33.75" customHeight="1">
      <c r="A18" s="29"/>
      <c r="B18" s="33"/>
      <c r="C18" s="42" t="s">
        <v>7</v>
      </c>
      <c r="D18" s="43">
        <f>SUM(D21:D110)</f>
        <v>750000</v>
      </c>
      <c r="E18" s="43">
        <f t="shared" ref="E18:H18" si="1">SUM(E21:E110)</f>
        <v>850000</v>
      </c>
      <c r="F18" s="43">
        <f t="shared" si="1"/>
        <v>950000</v>
      </c>
      <c r="G18" s="43">
        <f t="shared" si="1"/>
        <v>1050000</v>
      </c>
      <c r="H18" s="43">
        <f t="shared" si="1"/>
        <v>1150000</v>
      </c>
      <c r="I18" s="44">
        <f>SUM(D18:H18)</f>
        <v>4750000</v>
      </c>
      <c r="J18" s="35"/>
      <c r="K18" s="29"/>
    </row>
    <row r="19" spans="1:11" ht="22.5" customHeight="1">
      <c r="A19" s="29"/>
      <c r="B19" s="33"/>
      <c r="C19" s="11"/>
      <c r="D19" s="45"/>
      <c r="E19" s="45"/>
      <c r="F19" s="45"/>
      <c r="G19" s="45"/>
      <c r="H19" s="45"/>
      <c r="I19" s="11"/>
      <c r="J19" s="35"/>
      <c r="K19" s="29"/>
    </row>
    <row r="20" spans="1:11" ht="32.25" customHeight="1">
      <c r="A20" s="46"/>
      <c r="B20" s="47"/>
      <c r="C20" s="48" t="s">
        <v>8</v>
      </c>
      <c r="D20" s="49">
        <v>44927</v>
      </c>
      <c r="E20" s="49">
        <v>45292</v>
      </c>
      <c r="F20" s="49">
        <v>45658</v>
      </c>
      <c r="G20" s="49">
        <v>46023</v>
      </c>
      <c r="H20" s="49">
        <v>46388</v>
      </c>
      <c r="I20" s="50" t="s">
        <v>9</v>
      </c>
      <c r="J20" s="51"/>
      <c r="K20" s="46"/>
    </row>
    <row r="21" spans="1:11" ht="24.75" customHeight="1">
      <c r="A21" s="29"/>
      <c r="B21" s="33"/>
      <c r="C21" s="52" t="s">
        <v>10</v>
      </c>
      <c r="D21" s="53">
        <v>50000</v>
      </c>
      <c r="E21" s="53">
        <v>60000</v>
      </c>
      <c r="F21" s="53">
        <v>70000</v>
      </c>
      <c r="G21" s="53">
        <v>80000</v>
      </c>
      <c r="H21" s="53">
        <v>90000</v>
      </c>
      <c r="I21" s="54">
        <v>350000</v>
      </c>
      <c r="J21" s="35"/>
      <c r="K21" s="29"/>
    </row>
    <row r="22" spans="1:11" ht="24.75" customHeight="1">
      <c r="A22" s="29"/>
      <c r="B22" s="33"/>
      <c r="C22" s="55" t="s">
        <v>11</v>
      </c>
      <c r="D22" s="56">
        <v>80000</v>
      </c>
      <c r="E22" s="56">
        <v>90000</v>
      </c>
      <c r="F22" s="56">
        <v>100000</v>
      </c>
      <c r="G22" s="56">
        <v>110000</v>
      </c>
      <c r="H22" s="56">
        <v>120000</v>
      </c>
      <c r="I22" s="57">
        <v>500000</v>
      </c>
      <c r="J22" s="35"/>
      <c r="K22" s="29"/>
    </row>
    <row r="23" spans="1:11" ht="24.75" customHeight="1">
      <c r="A23" s="29"/>
      <c r="B23" s="33"/>
      <c r="C23" s="55" t="s">
        <v>12</v>
      </c>
      <c r="D23" s="56">
        <v>100000</v>
      </c>
      <c r="E23" s="56">
        <v>110000</v>
      </c>
      <c r="F23" s="56">
        <v>120000</v>
      </c>
      <c r="G23" s="56">
        <v>130000</v>
      </c>
      <c r="H23" s="56">
        <v>140000</v>
      </c>
      <c r="I23" s="57">
        <v>600000</v>
      </c>
      <c r="J23" s="35"/>
      <c r="K23" s="29"/>
    </row>
    <row r="24" spans="1:11" ht="24.75" customHeight="1">
      <c r="A24" s="29"/>
      <c r="B24" s="33"/>
      <c r="C24" s="55" t="s">
        <v>13</v>
      </c>
      <c r="D24" s="56">
        <v>70000</v>
      </c>
      <c r="E24" s="56">
        <v>80000</v>
      </c>
      <c r="F24" s="56">
        <v>90000</v>
      </c>
      <c r="G24" s="56">
        <v>100000</v>
      </c>
      <c r="H24" s="56">
        <v>110000</v>
      </c>
      <c r="I24" s="57">
        <v>450000</v>
      </c>
      <c r="J24" s="35"/>
      <c r="K24" s="29"/>
    </row>
    <row r="25" spans="1:11" ht="24.75" customHeight="1">
      <c r="A25" s="29"/>
      <c r="B25" s="33"/>
      <c r="C25" s="55" t="s">
        <v>14</v>
      </c>
      <c r="D25" s="56">
        <v>120000</v>
      </c>
      <c r="E25" s="56">
        <v>130000</v>
      </c>
      <c r="F25" s="56">
        <v>140000</v>
      </c>
      <c r="G25" s="56">
        <v>150000</v>
      </c>
      <c r="H25" s="56">
        <v>160000</v>
      </c>
      <c r="I25" s="57">
        <v>700000</v>
      </c>
      <c r="J25" s="35"/>
      <c r="K25" s="29"/>
    </row>
    <row r="26" spans="1:11" ht="24.75" customHeight="1">
      <c r="A26" s="29"/>
      <c r="B26" s="33"/>
      <c r="C26" s="55" t="s">
        <v>15</v>
      </c>
      <c r="D26" s="56">
        <v>90000</v>
      </c>
      <c r="E26" s="56">
        <v>100000</v>
      </c>
      <c r="F26" s="56">
        <v>110000</v>
      </c>
      <c r="G26" s="56">
        <v>120000</v>
      </c>
      <c r="H26" s="56">
        <v>130000</v>
      </c>
      <c r="I26" s="57">
        <v>550000</v>
      </c>
      <c r="J26" s="35"/>
      <c r="K26" s="29"/>
    </row>
    <row r="27" spans="1:11" ht="24.75" customHeight="1">
      <c r="A27" s="29"/>
      <c r="B27" s="33"/>
      <c r="C27" s="55" t="s">
        <v>16</v>
      </c>
      <c r="D27" s="56">
        <v>70000</v>
      </c>
      <c r="E27" s="56">
        <v>80000</v>
      </c>
      <c r="F27" s="56">
        <v>90000</v>
      </c>
      <c r="G27" s="56">
        <v>100000</v>
      </c>
      <c r="H27" s="56">
        <v>110000</v>
      </c>
      <c r="I27" s="57">
        <v>450000</v>
      </c>
      <c r="J27" s="35"/>
      <c r="K27" s="29"/>
    </row>
    <row r="28" spans="1:11" ht="24.75" customHeight="1">
      <c r="A28" s="29"/>
      <c r="B28" s="33"/>
      <c r="C28" s="55" t="s">
        <v>17</v>
      </c>
      <c r="D28" s="56">
        <v>40000</v>
      </c>
      <c r="E28" s="56">
        <v>50000</v>
      </c>
      <c r="F28" s="56">
        <v>60000</v>
      </c>
      <c r="G28" s="56">
        <v>70000</v>
      </c>
      <c r="H28" s="56">
        <v>80000</v>
      </c>
      <c r="I28" s="57">
        <v>300000</v>
      </c>
      <c r="J28" s="35"/>
      <c r="K28" s="29"/>
    </row>
    <row r="29" spans="1:11" ht="24.75" customHeight="1">
      <c r="A29" s="29"/>
      <c r="B29" s="33"/>
      <c r="C29" s="55" t="s">
        <v>18</v>
      </c>
      <c r="D29" s="56">
        <v>30000</v>
      </c>
      <c r="E29" s="56">
        <v>40000</v>
      </c>
      <c r="F29" s="56">
        <v>50000</v>
      </c>
      <c r="G29" s="56">
        <v>60000</v>
      </c>
      <c r="H29" s="56">
        <v>70000</v>
      </c>
      <c r="I29" s="57">
        <v>250000</v>
      </c>
      <c r="J29" s="35"/>
      <c r="K29" s="29"/>
    </row>
    <row r="30" spans="1:11" ht="24.75" customHeight="1">
      <c r="A30" s="29"/>
      <c r="B30" s="33"/>
      <c r="C30" s="55" t="s">
        <v>19</v>
      </c>
      <c r="D30" s="56">
        <v>100000</v>
      </c>
      <c r="E30" s="56">
        <v>110000</v>
      </c>
      <c r="F30" s="56">
        <v>120000</v>
      </c>
      <c r="G30" s="56">
        <v>130000</v>
      </c>
      <c r="H30" s="56">
        <v>140000</v>
      </c>
      <c r="I30" s="57">
        <v>600000</v>
      </c>
      <c r="J30" s="35"/>
      <c r="K30" s="29"/>
    </row>
    <row r="31" spans="1:11" ht="24.75" customHeight="1">
      <c r="A31" s="29"/>
      <c r="B31" s="33"/>
      <c r="C31" s="58"/>
      <c r="D31" s="59"/>
      <c r="E31" s="59"/>
      <c r="F31" s="59"/>
      <c r="G31" s="59"/>
      <c r="H31" s="59"/>
      <c r="I31" s="60"/>
      <c r="J31" s="35"/>
      <c r="K31" s="29"/>
    </row>
    <row r="32" spans="1:11" ht="24.75" customHeight="1">
      <c r="A32" s="29"/>
      <c r="B32" s="33"/>
      <c r="C32" s="58"/>
      <c r="D32" s="59"/>
      <c r="E32" s="59"/>
      <c r="F32" s="59"/>
      <c r="G32" s="59"/>
      <c r="H32" s="59"/>
      <c r="I32" s="60"/>
      <c r="J32" s="35"/>
      <c r="K32" s="29"/>
    </row>
    <row r="33" spans="1:11" ht="24.75" customHeight="1">
      <c r="A33" s="29"/>
      <c r="B33" s="33"/>
      <c r="C33" s="58"/>
      <c r="D33" s="59"/>
      <c r="E33" s="59"/>
      <c r="F33" s="59"/>
      <c r="G33" s="59"/>
      <c r="H33" s="59"/>
      <c r="I33" s="60"/>
      <c r="J33" s="35"/>
      <c r="K33" s="29"/>
    </row>
    <row r="34" spans="1:11" ht="24.75" customHeight="1">
      <c r="A34" s="29"/>
      <c r="B34" s="33"/>
      <c r="C34" s="58"/>
      <c r="D34" s="59"/>
      <c r="E34" s="59"/>
      <c r="F34" s="59"/>
      <c r="G34" s="59"/>
      <c r="H34" s="59"/>
      <c r="I34" s="60"/>
      <c r="J34" s="35"/>
      <c r="K34" s="29"/>
    </row>
    <row r="35" spans="1:11" ht="24.75" customHeight="1">
      <c r="A35" s="29"/>
      <c r="B35" s="33"/>
      <c r="C35" s="58"/>
      <c r="D35" s="59"/>
      <c r="E35" s="59"/>
      <c r="F35" s="59"/>
      <c r="G35" s="59"/>
      <c r="H35" s="59"/>
      <c r="I35" s="60"/>
      <c r="J35" s="35"/>
      <c r="K35" s="29"/>
    </row>
    <row r="36" spans="1:11" ht="24.75" customHeight="1">
      <c r="A36" s="29"/>
      <c r="B36" s="33"/>
      <c r="C36" s="58"/>
      <c r="D36" s="59"/>
      <c r="E36" s="59"/>
      <c r="F36" s="59"/>
      <c r="G36" s="59"/>
      <c r="H36" s="59"/>
      <c r="I36" s="60"/>
      <c r="J36" s="35"/>
      <c r="K36" s="29"/>
    </row>
    <row r="37" spans="1:11" ht="24.75" customHeight="1">
      <c r="A37" s="29"/>
      <c r="B37" s="33"/>
      <c r="C37" s="58"/>
      <c r="D37" s="59"/>
      <c r="E37" s="59"/>
      <c r="F37" s="59"/>
      <c r="G37" s="59"/>
      <c r="H37" s="59"/>
      <c r="I37" s="60"/>
      <c r="J37" s="35"/>
      <c r="K37" s="29"/>
    </row>
    <row r="38" spans="1:11" ht="24.75" customHeight="1">
      <c r="A38" s="29"/>
      <c r="B38" s="33"/>
      <c r="C38" s="58"/>
      <c r="D38" s="59"/>
      <c r="E38" s="59"/>
      <c r="F38" s="59"/>
      <c r="G38" s="59"/>
      <c r="H38" s="59"/>
      <c r="I38" s="60"/>
      <c r="J38" s="35"/>
      <c r="K38" s="29"/>
    </row>
    <row r="39" spans="1:11" ht="24.75" customHeight="1">
      <c r="A39" s="29"/>
      <c r="B39" s="33"/>
      <c r="C39" s="58"/>
      <c r="D39" s="59"/>
      <c r="E39" s="59"/>
      <c r="F39" s="59"/>
      <c r="G39" s="59"/>
      <c r="H39" s="59"/>
      <c r="I39" s="60"/>
      <c r="J39" s="35"/>
      <c r="K39" s="29"/>
    </row>
    <row r="40" spans="1:11" ht="24.75" customHeight="1">
      <c r="A40" s="29"/>
      <c r="B40" s="33"/>
      <c r="C40" s="58"/>
      <c r="D40" s="59"/>
      <c r="E40" s="59"/>
      <c r="F40" s="59"/>
      <c r="G40" s="59"/>
      <c r="H40" s="59"/>
      <c r="I40" s="60"/>
      <c r="J40" s="35"/>
      <c r="K40" s="29"/>
    </row>
    <row r="41" spans="1:11" ht="24.75" customHeight="1">
      <c r="A41" s="29"/>
      <c r="B41" s="33"/>
      <c r="C41" s="58"/>
      <c r="D41" s="61"/>
      <c r="E41" s="61"/>
      <c r="F41" s="61"/>
      <c r="G41" s="61"/>
      <c r="H41" s="61"/>
      <c r="I41" s="62"/>
      <c r="J41" s="35"/>
      <c r="K41" s="29"/>
    </row>
    <row r="42" spans="1:11" ht="24.75" customHeight="1">
      <c r="A42" s="29"/>
      <c r="B42" s="33"/>
      <c r="C42" s="58"/>
      <c r="D42" s="61"/>
      <c r="E42" s="61"/>
      <c r="F42" s="61"/>
      <c r="G42" s="61"/>
      <c r="H42" s="61"/>
      <c r="I42" s="62"/>
      <c r="J42" s="35"/>
      <c r="K42" s="29"/>
    </row>
    <row r="43" spans="1:11" ht="24.75" customHeight="1">
      <c r="A43" s="29"/>
      <c r="B43" s="33"/>
      <c r="C43" s="58"/>
      <c r="D43" s="61"/>
      <c r="E43" s="61"/>
      <c r="F43" s="61"/>
      <c r="G43" s="61"/>
      <c r="H43" s="61"/>
      <c r="I43" s="62"/>
      <c r="J43" s="35"/>
      <c r="K43" s="29"/>
    </row>
    <row r="44" spans="1:11" ht="24.75" customHeight="1">
      <c r="A44" s="29"/>
      <c r="B44" s="33"/>
      <c r="C44" s="58"/>
      <c r="D44" s="61"/>
      <c r="E44" s="61"/>
      <c r="F44" s="61"/>
      <c r="G44" s="61"/>
      <c r="H44" s="61"/>
      <c r="I44" s="62"/>
      <c r="J44" s="35"/>
      <c r="K44" s="29"/>
    </row>
    <row r="45" spans="1:11" ht="24.75" customHeight="1">
      <c r="A45" s="29"/>
      <c r="B45" s="33"/>
      <c r="C45" s="58"/>
      <c r="D45" s="61"/>
      <c r="E45" s="61"/>
      <c r="F45" s="61"/>
      <c r="G45" s="61"/>
      <c r="H45" s="61"/>
      <c r="I45" s="62"/>
      <c r="J45" s="35"/>
      <c r="K45" s="29"/>
    </row>
    <row r="46" spans="1:11" ht="24.75" customHeight="1">
      <c r="A46" s="29"/>
      <c r="B46" s="33"/>
      <c r="C46" s="58"/>
      <c r="D46" s="61"/>
      <c r="E46" s="61"/>
      <c r="F46" s="61"/>
      <c r="G46" s="61"/>
      <c r="H46" s="61"/>
      <c r="I46" s="62"/>
      <c r="J46" s="35"/>
      <c r="K46" s="29"/>
    </row>
    <row r="47" spans="1:11" ht="24.75" customHeight="1">
      <c r="A47" s="29"/>
      <c r="B47" s="33"/>
      <c r="C47" s="58"/>
      <c r="D47" s="61"/>
      <c r="E47" s="61"/>
      <c r="F47" s="61"/>
      <c r="G47" s="61"/>
      <c r="H47" s="61"/>
      <c r="I47" s="62"/>
      <c r="J47" s="35"/>
      <c r="K47" s="29"/>
    </row>
    <row r="48" spans="1:11" ht="24.75" customHeight="1">
      <c r="A48" s="29"/>
      <c r="B48" s="33"/>
      <c r="C48" s="58"/>
      <c r="D48" s="61"/>
      <c r="E48" s="61"/>
      <c r="F48" s="61"/>
      <c r="G48" s="61"/>
      <c r="H48" s="61"/>
      <c r="I48" s="62"/>
      <c r="J48" s="35"/>
      <c r="K48" s="29"/>
    </row>
    <row r="49" spans="1:11" ht="24.75" customHeight="1">
      <c r="A49" s="29"/>
      <c r="B49" s="33"/>
      <c r="C49" s="58"/>
      <c r="D49" s="61"/>
      <c r="E49" s="61"/>
      <c r="F49" s="61"/>
      <c r="G49" s="61"/>
      <c r="H49" s="61"/>
      <c r="I49" s="62"/>
      <c r="J49" s="35"/>
      <c r="K49" s="29"/>
    </row>
    <row r="50" spans="1:11" ht="24.75" customHeight="1">
      <c r="A50" s="29"/>
      <c r="B50" s="33"/>
      <c r="C50" s="58"/>
      <c r="D50" s="61"/>
      <c r="E50" s="61"/>
      <c r="F50" s="61"/>
      <c r="G50" s="61"/>
      <c r="H50" s="61"/>
      <c r="I50" s="62"/>
      <c r="J50" s="35"/>
      <c r="K50" s="29"/>
    </row>
    <row r="51" spans="1:11" ht="24.75" customHeight="1">
      <c r="A51" s="29"/>
      <c r="B51" s="33"/>
      <c r="C51" s="58"/>
      <c r="D51" s="61"/>
      <c r="E51" s="61"/>
      <c r="F51" s="61"/>
      <c r="G51" s="61"/>
      <c r="H51" s="61"/>
      <c r="I51" s="62"/>
      <c r="J51" s="35"/>
      <c r="K51" s="29"/>
    </row>
    <row r="52" spans="1:11" ht="24.75" customHeight="1">
      <c r="A52" s="29"/>
      <c r="B52" s="33"/>
      <c r="C52" s="58"/>
      <c r="D52" s="61"/>
      <c r="E52" s="61"/>
      <c r="F52" s="61"/>
      <c r="G52" s="61"/>
      <c r="H52" s="61"/>
      <c r="I52" s="62"/>
      <c r="J52" s="35"/>
      <c r="K52" s="29"/>
    </row>
    <row r="53" spans="1:11" ht="24.75" customHeight="1">
      <c r="A53" s="29"/>
      <c r="B53" s="33"/>
      <c r="C53" s="58"/>
      <c r="D53" s="61"/>
      <c r="E53" s="61"/>
      <c r="F53" s="61"/>
      <c r="G53" s="61"/>
      <c r="H53" s="61"/>
      <c r="I53" s="62"/>
      <c r="J53" s="35"/>
      <c r="K53" s="29"/>
    </row>
    <row r="54" spans="1:11" ht="24.75" customHeight="1">
      <c r="A54" s="29"/>
      <c r="B54" s="33"/>
      <c r="C54" s="58"/>
      <c r="D54" s="61"/>
      <c r="E54" s="61"/>
      <c r="F54" s="61"/>
      <c r="G54" s="61"/>
      <c r="H54" s="61"/>
      <c r="I54" s="62"/>
      <c r="J54" s="35"/>
      <c r="K54" s="29"/>
    </row>
    <row r="55" spans="1:11" ht="24.75" customHeight="1">
      <c r="A55" s="29"/>
      <c r="B55" s="33"/>
      <c r="C55" s="58"/>
      <c r="D55" s="61"/>
      <c r="E55" s="61"/>
      <c r="F55" s="61"/>
      <c r="G55" s="61"/>
      <c r="H55" s="61"/>
      <c r="I55" s="62"/>
      <c r="J55" s="35"/>
      <c r="K55" s="29"/>
    </row>
    <row r="56" spans="1:11" ht="24.75" customHeight="1">
      <c r="A56" s="29"/>
      <c r="B56" s="33"/>
      <c r="C56" s="58"/>
      <c r="D56" s="61"/>
      <c r="E56" s="61"/>
      <c r="F56" s="61"/>
      <c r="G56" s="61"/>
      <c r="H56" s="61"/>
      <c r="I56" s="62"/>
      <c r="J56" s="35"/>
      <c r="K56" s="29"/>
    </row>
    <row r="57" spans="1:11" ht="24.75" customHeight="1">
      <c r="A57" s="29"/>
      <c r="B57" s="33"/>
      <c r="C57" s="58"/>
      <c r="D57" s="61"/>
      <c r="E57" s="61"/>
      <c r="F57" s="61"/>
      <c r="G57" s="61"/>
      <c r="H57" s="61"/>
      <c r="I57" s="62"/>
      <c r="J57" s="35"/>
      <c r="K57" s="29"/>
    </row>
    <row r="58" spans="1:11" ht="24.75" customHeight="1">
      <c r="A58" s="29"/>
      <c r="B58" s="33"/>
      <c r="C58" s="58"/>
      <c r="D58" s="61"/>
      <c r="E58" s="61"/>
      <c r="F58" s="61"/>
      <c r="G58" s="61"/>
      <c r="H58" s="61"/>
      <c r="I58" s="62"/>
      <c r="J58" s="35"/>
      <c r="K58" s="29"/>
    </row>
    <row r="59" spans="1:11" ht="24.75" customHeight="1">
      <c r="A59" s="29"/>
      <c r="B59" s="33"/>
      <c r="C59" s="58"/>
      <c r="D59" s="61"/>
      <c r="E59" s="61"/>
      <c r="F59" s="61"/>
      <c r="G59" s="61"/>
      <c r="H59" s="61"/>
      <c r="I59" s="62"/>
      <c r="J59" s="35"/>
      <c r="K59" s="29"/>
    </row>
    <row r="60" spans="1:11" ht="24.75" customHeight="1">
      <c r="A60" s="29"/>
      <c r="B60" s="33"/>
      <c r="C60" s="58"/>
      <c r="D60" s="61"/>
      <c r="E60" s="61"/>
      <c r="F60" s="61"/>
      <c r="G60" s="61"/>
      <c r="H60" s="61"/>
      <c r="I60" s="62"/>
      <c r="J60" s="35"/>
      <c r="K60" s="29"/>
    </row>
    <row r="61" spans="1:11" ht="24.75" customHeight="1">
      <c r="A61" s="29"/>
      <c r="B61" s="33"/>
      <c r="C61" s="58"/>
      <c r="D61" s="61"/>
      <c r="E61" s="61"/>
      <c r="F61" s="61"/>
      <c r="G61" s="61"/>
      <c r="H61" s="61"/>
      <c r="I61" s="62"/>
      <c r="J61" s="35"/>
      <c r="K61" s="29"/>
    </row>
    <row r="62" spans="1:11" ht="24.75" customHeight="1">
      <c r="A62" s="29"/>
      <c r="B62" s="33"/>
      <c r="C62" s="58"/>
      <c r="D62" s="61"/>
      <c r="E62" s="61"/>
      <c r="F62" s="61"/>
      <c r="G62" s="61"/>
      <c r="H62" s="61"/>
      <c r="I62" s="62"/>
      <c r="J62" s="35"/>
      <c r="K62" s="29"/>
    </row>
    <row r="63" spans="1:11" ht="24.75" customHeight="1">
      <c r="A63" s="29"/>
      <c r="B63" s="33"/>
      <c r="C63" s="58"/>
      <c r="D63" s="61"/>
      <c r="E63" s="61"/>
      <c r="F63" s="61"/>
      <c r="G63" s="61"/>
      <c r="H63" s="61"/>
      <c r="I63" s="62"/>
      <c r="J63" s="35"/>
      <c r="K63" s="29"/>
    </row>
    <row r="64" spans="1:11" ht="24.75" customHeight="1">
      <c r="A64" s="29"/>
      <c r="B64" s="33"/>
      <c r="C64" s="58"/>
      <c r="D64" s="61"/>
      <c r="E64" s="61"/>
      <c r="F64" s="61"/>
      <c r="G64" s="61"/>
      <c r="H64" s="61"/>
      <c r="I64" s="62"/>
      <c r="J64" s="35"/>
      <c r="K64" s="29"/>
    </row>
    <row r="65" spans="1:11" ht="24.75" customHeight="1">
      <c r="A65" s="29"/>
      <c r="B65" s="33"/>
      <c r="C65" s="58"/>
      <c r="D65" s="61"/>
      <c r="E65" s="61"/>
      <c r="F65" s="61"/>
      <c r="G65" s="61"/>
      <c r="H65" s="61"/>
      <c r="I65" s="62"/>
      <c r="J65" s="35"/>
      <c r="K65" s="29"/>
    </row>
    <row r="66" spans="1:11" ht="24.75" customHeight="1">
      <c r="A66" s="29"/>
      <c r="B66" s="33"/>
      <c r="C66" s="58"/>
      <c r="D66" s="61"/>
      <c r="E66" s="61"/>
      <c r="F66" s="61"/>
      <c r="G66" s="61"/>
      <c r="H66" s="61"/>
      <c r="I66" s="62"/>
      <c r="J66" s="35"/>
      <c r="K66" s="29"/>
    </row>
    <row r="67" spans="1:11" ht="24.75" customHeight="1">
      <c r="A67" s="29"/>
      <c r="B67" s="33"/>
      <c r="C67" s="58"/>
      <c r="D67" s="61"/>
      <c r="E67" s="61"/>
      <c r="F67" s="61"/>
      <c r="G67" s="61"/>
      <c r="H67" s="61"/>
      <c r="I67" s="62"/>
      <c r="J67" s="35"/>
      <c r="K67" s="29"/>
    </row>
    <row r="68" spans="1:11" ht="24.75" customHeight="1">
      <c r="A68" s="29"/>
      <c r="B68" s="33"/>
      <c r="C68" s="58"/>
      <c r="D68" s="61"/>
      <c r="E68" s="61"/>
      <c r="F68" s="61"/>
      <c r="G68" s="61"/>
      <c r="H68" s="61"/>
      <c r="I68" s="62"/>
      <c r="J68" s="35"/>
      <c r="K68" s="29"/>
    </row>
    <row r="69" spans="1:11" ht="24.75" customHeight="1">
      <c r="A69" s="29"/>
      <c r="B69" s="33"/>
      <c r="C69" s="58"/>
      <c r="D69" s="61"/>
      <c r="E69" s="61"/>
      <c r="F69" s="61"/>
      <c r="G69" s="61"/>
      <c r="H69" s="61"/>
      <c r="I69" s="62"/>
      <c r="J69" s="35"/>
      <c r="K69" s="29"/>
    </row>
    <row r="70" spans="1:11" ht="24.75" customHeight="1">
      <c r="A70" s="29"/>
      <c r="B70" s="33"/>
      <c r="C70" s="58"/>
      <c r="D70" s="61"/>
      <c r="E70" s="61"/>
      <c r="F70" s="61"/>
      <c r="G70" s="61"/>
      <c r="H70" s="61"/>
      <c r="I70" s="62"/>
      <c r="J70" s="35"/>
      <c r="K70" s="29"/>
    </row>
    <row r="71" spans="1:11" ht="24.75" customHeight="1">
      <c r="A71" s="29"/>
      <c r="B71" s="33"/>
      <c r="C71" s="58"/>
      <c r="D71" s="61"/>
      <c r="E71" s="61"/>
      <c r="F71" s="61"/>
      <c r="G71" s="61"/>
      <c r="H71" s="61"/>
      <c r="I71" s="62"/>
      <c r="J71" s="35"/>
      <c r="K71" s="29"/>
    </row>
    <row r="72" spans="1:11" ht="24.75" customHeight="1">
      <c r="A72" s="29"/>
      <c r="B72" s="33"/>
      <c r="C72" s="58"/>
      <c r="D72" s="61"/>
      <c r="E72" s="61"/>
      <c r="F72" s="61"/>
      <c r="G72" s="61"/>
      <c r="H72" s="61"/>
      <c r="I72" s="62"/>
      <c r="J72" s="35"/>
      <c r="K72" s="29"/>
    </row>
    <row r="73" spans="1:11" ht="24.75" customHeight="1">
      <c r="A73" s="29"/>
      <c r="B73" s="33"/>
      <c r="C73" s="58"/>
      <c r="D73" s="61"/>
      <c r="E73" s="61"/>
      <c r="F73" s="61"/>
      <c r="G73" s="61"/>
      <c r="H73" s="61"/>
      <c r="I73" s="62"/>
      <c r="J73" s="35"/>
      <c r="K73" s="29"/>
    </row>
    <row r="74" spans="1:11" ht="24.75" customHeight="1">
      <c r="A74" s="29"/>
      <c r="B74" s="33"/>
      <c r="C74" s="58"/>
      <c r="D74" s="61"/>
      <c r="E74" s="61"/>
      <c r="F74" s="61"/>
      <c r="G74" s="61"/>
      <c r="H74" s="61"/>
      <c r="I74" s="62"/>
      <c r="J74" s="35"/>
      <c r="K74" s="29"/>
    </row>
    <row r="75" spans="1:11" ht="24.75" customHeight="1">
      <c r="A75" s="29"/>
      <c r="B75" s="33"/>
      <c r="C75" s="58"/>
      <c r="D75" s="61"/>
      <c r="E75" s="61"/>
      <c r="F75" s="61"/>
      <c r="G75" s="61"/>
      <c r="H75" s="61"/>
      <c r="I75" s="62"/>
      <c r="J75" s="35"/>
      <c r="K75" s="29"/>
    </row>
    <row r="76" spans="1:11" ht="24.75" customHeight="1">
      <c r="A76" s="29"/>
      <c r="B76" s="33"/>
      <c r="C76" s="58"/>
      <c r="D76" s="61"/>
      <c r="E76" s="61"/>
      <c r="F76" s="61"/>
      <c r="G76" s="61"/>
      <c r="H76" s="61"/>
      <c r="I76" s="62"/>
      <c r="J76" s="35"/>
      <c r="K76" s="29"/>
    </row>
    <row r="77" spans="1:11" ht="24.75" customHeight="1">
      <c r="A77" s="29"/>
      <c r="B77" s="33"/>
      <c r="C77" s="58"/>
      <c r="D77" s="61"/>
      <c r="E77" s="61"/>
      <c r="F77" s="61"/>
      <c r="G77" s="61"/>
      <c r="H77" s="61"/>
      <c r="I77" s="62"/>
      <c r="J77" s="35"/>
      <c r="K77" s="29"/>
    </row>
    <row r="78" spans="1:11" ht="24.75" customHeight="1">
      <c r="A78" s="29"/>
      <c r="B78" s="33"/>
      <c r="C78" s="58"/>
      <c r="D78" s="61"/>
      <c r="E78" s="61"/>
      <c r="F78" s="61"/>
      <c r="G78" s="61"/>
      <c r="H78" s="61"/>
      <c r="I78" s="62"/>
      <c r="J78" s="35"/>
      <c r="K78" s="29"/>
    </row>
    <row r="79" spans="1:11" ht="24.75" customHeight="1">
      <c r="A79" s="29"/>
      <c r="B79" s="33"/>
      <c r="C79" s="58"/>
      <c r="D79" s="61"/>
      <c r="E79" s="61"/>
      <c r="F79" s="61"/>
      <c r="G79" s="61"/>
      <c r="H79" s="61"/>
      <c r="I79" s="62"/>
      <c r="J79" s="35"/>
      <c r="K79" s="29"/>
    </row>
    <row r="80" spans="1:11" ht="24.75" customHeight="1">
      <c r="A80" s="29"/>
      <c r="B80" s="33"/>
      <c r="C80" s="58"/>
      <c r="D80" s="61"/>
      <c r="E80" s="61"/>
      <c r="F80" s="61"/>
      <c r="G80" s="61"/>
      <c r="H80" s="61"/>
      <c r="I80" s="62"/>
      <c r="J80" s="35"/>
      <c r="K80" s="29"/>
    </row>
    <row r="81" spans="1:11" ht="24.75" customHeight="1">
      <c r="A81" s="29"/>
      <c r="B81" s="33"/>
      <c r="C81" s="58"/>
      <c r="D81" s="61"/>
      <c r="E81" s="61"/>
      <c r="F81" s="61"/>
      <c r="G81" s="61"/>
      <c r="H81" s="61"/>
      <c r="I81" s="62"/>
      <c r="J81" s="35"/>
      <c r="K81" s="29"/>
    </row>
    <row r="82" spans="1:11" ht="24.75" customHeight="1">
      <c r="A82" s="29"/>
      <c r="B82" s="33"/>
      <c r="C82" s="58"/>
      <c r="D82" s="61"/>
      <c r="E82" s="61"/>
      <c r="F82" s="61"/>
      <c r="G82" s="61"/>
      <c r="H82" s="61"/>
      <c r="I82" s="62"/>
      <c r="J82" s="35"/>
      <c r="K82" s="29"/>
    </row>
    <row r="83" spans="1:11" ht="24.75" customHeight="1">
      <c r="A83" s="29"/>
      <c r="B83" s="33"/>
      <c r="C83" s="58"/>
      <c r="D83" s="61"/>
      <c r="E83" s="61"/>
      <c r="F83" s="61"/>
      <c r="G83" s="61"/>
      <c r="H83" s="61"/>
      <c r="I83" s="62"/>
      <c r="J83" s="35"/>
      <c r="K83" s="29"/>
    </row>
    <row r="84" spans="1:11" ht="24.75" customHeight="1">
      <c r="A84" s="29"/>
      <c r="B84" s="33"/>
      <c r="C84" s="58"/>
      <c r="D84" s="61"/>
      <c r="E84" s="61"/>
      <c r="F84" s="61"/>
      <c r="G84" s="61"/>
      <c r="H84" s="61"/>
      <c r="I84" s="62"/>
      <c r="J84" s="35"/>
      <c r="K84" s="29"/>
    </row>
    <row r="85" spans="1:11" ht="24.75" customHeight="1">
      <c r="A85" s="29"/>
      <c r="B85" s="33"/>
      <c r="C85" s="58"/>
      <c r="D85" s="61"/>
      <c r="E85" s="61"/>
      <c r="F85" s="61"/>
      <c r="G85" s="61"/>
      <c r="H85" s="61"/>
      <c r="I85" s="62"/>
      <c r="J85" s="35"/>
      <c r="K85" s="29"/>
    </row>
    <row r="86" spans="1:11" ht="24.75" customHeight="1">
      <c r="A86" s="29"/>
      <c r="B86" s="33"/>
      <c r="C86" s="58"/>
      <c r="D86" s="61"/>
      <c r="E86" s="61"/>
      <c r="F86" s="61"/>
      <c r="G86" s="61"/>
      <c r="H86" s="61"/>
      <c r="I86" s="62"/>
      <c r="J86" s="35"/>
      <c r="K86" s="29"/>
    </row>
    <row r="87" spans="1:11" ht="24.75" customHeight="1">
      <c r="A87" s="29"/>
      <c r="B87" s="33"/>
      <c r="C87" s="58"/>
      <c r="D87" s="61"/>
      <c r="E87" s="61"/>
      <c r="F87" s="61"/>
      <c r="G87" s="61"/>
      <c r="H87" s="61"/>
      <c r="I87" s="62"/>
      <c r="J87" s="35"/>
      <c r="K87" s="29"/>
    </row>
    <row r="88" spans="1:11" ht="24.75" customHeight="1">
      <c r="A88" s="29"/>
      <c r="B88" s="33"/>
      <c r="C88" s="58"/>
      <c r="D88" s="61"/>
      <c r="E88" s="61"/>
      <c r="F88" s="61"/>
      <c r="G88" s="61"/>
      <c r="H88" s="61"/>
      <c r="I88" s="62"/>
      <c r="J88" s="35"/>
      <c r="K88" s="29"/>
    </row>
    <row r="89" spans="1:11" ht="24.75" customHeight="1">
      <c r="A89" s="29"/>
      <c r="B89" s="33"/>
      <c r="C89" s="58"/>
      <c r="D89" s="61"/>
      <c r="E89" s="61"/>
      <c r="F89" s="61"/>
      <c r="G89" s="61"/>
      <c r="H89" s="61"/>
      <c r="I89" s="62"/>
      <c r="J89" s="35"/>
      <c r="K89" s="29"/>
    </row>
    <row r="90" spans="1:11" ht="24.75" customHeight="1">
      <c r="A90" s="29"/>
      <c r="B90" s="33"/>
      <c r="C90" s="58"/>
      <c r="D90" s="61"/>
      <c r="E90" s="61"/>
      <c r="F90" s="61"/>
      <c r="G90" s="61"/>
      <c r="H90" s="61"/>
      <c r="I90" s="62"/>
      <c r="J90" s="35"/>
      <c r="K90" s="29"/>
    </row>
    <row r="91" spans="1:11" ht="24.75" customHeight="1">
      <c r="A91" s="29"/>
      <c r="B91" s="33"/>
      <c r="C91" s="58"/>
      <c r="D91" s="61"/>
      <c r="E91" s="61"/>
      <c r="F91" s="61"/>
      <c r="G91" s="61"/>
      <c r="H91" s="61"/>
      <c r="I91" s="62"/>
      <c r="J91" s="35"/>
      <c r="K91" s="29"/>
    </row>
    <row r="92" spans="1:11" ht="24.75" customHeight="1">
      <c r="A92" s="29"/>
      <c r="B92" s="33"/>
      <c r="C92" s="58"/>
      <c r="D92" s="61"/>
      <c r="E92" s="61"/>
      <c r="F92" s="61"/>
      <c r="G92" s="61"/>
      <c r="H92" s="61"/>
      <c r="I92" s="62"/>
      <c r="J92" s="35"/>
      <c r="K92" s="29"/>
    </row>
    <row r="93" spans="1:11" ht="24.75" customHeight="1">
      <c r="A93" s="29"/>
      <c r="B93" s="33"/>
      <c r="C93" s="58"/>
      <c r="D93" s="61"/>
      <c r="E93" s="61"/>
      <c r="F93" s="61"/>
      <c r="G93" s="61"/>
      <c r="H93" s="61"/>
      <c r="I93" s="62"/>
      <c r="J93" s="35"/>
      <c r="K93" s="29"/>
    </row>
    <row r="94" spans="1:11" ht="24.75" customHeight="1">
      <c r="A94" s="29"/>
      <c r="B94" s="33"/>
      <c r="C94" s="58"/>
      <c r="D94" s="61"/>
      <c r="E94" s="61"/>
      <c r="F94" s="61"/>
      <c r="G94" s="61"/>
      <c r="H94" s="61"/>
      <c r="I94" s="62"/>
      <c r="J94" s="35"/>
      <c r="K94" s="29"/>
    </row>
    <row r="95" spans="1:11" ht="24.75" customHeight="1">
      <c r="A95" s="29"/>
      <c r="B95" s="33"/>
      <c r="C95" s="58"/>
      <c r="D95" s="61"/>
      <c r="E95" s="61"/>
      <c r="F95" s="61"/>
      <c r="G95" s="61"/>
      <c r="H95" s="61"/>
      <c r="I95" s="62"/>
      <c r="J95" s="35"/>
      <c r="K95" s="29"/>
    </row>
    <row r="96" spans="1:11" ht="24.75" customHeight="1">
      <c r="A96" s="29"/>
      <c r="B96" s="33"/>
      <c r="C96" s="58"/>
      <c r="D96" s="61"/>
      <c r="E96" s="61"/>
      <c r="F96" s="61"/>
      <c r="G96" s="61"/>
      <c r="H96" s="61"/>
      <c r="I96" s="62"/>
      <c r="J96" s="35"/>
      <c r="K96" s="29"/>
    </row>
    <row r="97" spans="1:11" ht="24.75" customHeight="1">
      <c r="A97" s="29"/>
      <c r="B97" s="33"/>
      <c r="C97" s="58"/>
      <c r="D97" s="61"/>
      <c r="E97" s="61"/>
      <c r="F97" s="61"/>
      <c r="G97" s="61"/>
      <c r="H97" s="61"/>
      <c r="I97" s="62"/>
      <c r="J97" s="35"/>
      <c r="K97" s="29"/>
    </row>
    <row r="98" spans="1:11" ht="24.75" customHeight="1">
      <c r="A98" s="29"/>
      <c r="B98" s="33"/>
      <c r="C98" s="58"/>
      <c r="D98" s="61"/>
      <c r="E98" s="61"/>
      <c r="F98" s="61"/>
      <c r="G98" s="61"/>
      <c r="H98" s="61"/>
      <c r="I98" s="62"/>
      <c r="J98" s="35"/>
      <c r="K98" s="29"/>
    </row>
    <row r="99" spans="1:11" ht="24.75" customHeight="1">
      <c r="A99" s="29"/>
      <c r="B99" s="33"/>
      <c r="C99" s="58"/>
      <c r="D99" s="61"/>
      <c r="E99" s="61"/>
      <c r="F99" s="61"/>
      <c r="G99" s="61"/>
      <c r="H99" s="61"/>
      <c r="I99" s="62"/>
      <c r="J99" s="35"/>
      <c r="K99" s="29"/>
    </row>
    <row r="100" spans="1:11" ht="24.75" customHeight="1">
      <c r="A100" s="29"/>
      <c r="B100" s="33"/>
      <c r="C100" s="58"/>
      <c r="D100" s="61"/>
      <c r="E100" s="61"/>
      <c r="F100" s="61"/>
      <c r="G100" s="61"/>
      <c r="H100" s="61"/>
      <c r="I100" s="62"/>
      <c r="J100" s="35"/>
      <c r="K100" s="29"/>
    </row>
    <row r="101" spans="1:11" ht="24.75" customHeight="1">
      <c r="A101" s="29"/>
      <c r="B101" s="33"/>
      <c r="C101" s="58"/>
      <c r="D101" s="61"/>
      <c r="E101" s="61"/>
      <c r="F101" s="61"/>
      <c r="G101" s="61"/>
      <c r="H101" s="61"/>
      <c r="I101" s="62"/>
      <c r="J101" s="35"/>
      <c r="K101" s="29"/>
    </row>
    <row r="102" spans="1:11" ht="24.75" customHeight="1">
      <c r="A102" s="29"/>
      <c r="B102" s="33"/>
      <c r="C102" s="58"/>
      <c r="D102" s="61"/>
      <c r="E102" s="61"/>
      <c r="F102" s="61"/>
      <c r="G102" s="61"/>
      <c r="H102" s="61"/>
      <c r="I102" s="62"/>
      <c r="J102" s="35"/>
      <c r="K102" s="29"/>
    </row>
    <row r="103" spans="1:11" ht="24.75" customHeight="1">
      <c r="A103" s="29"/>
      <c r="B103" s="33"/>
      <c r="C103" s="58"/>
      <c r="D103" s="61"/>
      <c r="E103" s="61"/>
      <c r="F103" s="61"/>
      <c r="G103" s="61"/>
      <c r="H103" s="61"/>
      <c r="I103" s="62"/>
      <c r="J103" s="35"/>
      <c r="K103" s="29"/>
    </row>
    <row r="104" spans="1:11" ht="24.75" customHeight="1">
      <c r="A104" s="29"/>
      <c r="B104" s="33"/>
      <c r="C104" s="58"/>
      <c r="D104" s="61"/>
      <c r="E104" s="61"/>
      <c r="F104" s="61"/>
      <c r="G104" s="61"/>
      <c r="H104" s="61"/>
      <c r="I104" s="62"/>
      <c r="J104" s="35"/>
      <c r="K104" s="29"/>
    </row>
    <row r="105" spans="1:11" ht="24.75" customHeight="1">
      <c r="A105" s="29"/>
      <c r="B105" s="33"/>
      <c r="C105" s="58"/>
      <c r="D105" s="61"/>
      <c r="E105" s="61"/>
      <c r="F105" s="61"/>
      <c r="G105" s="61"/>
      <c r="H105" s="61"/>
      <c r="I105" s="62"/>
      <c r="J105" s="35"/>
      <c r="K105" s="29"/>
    </row>
    <row r="106" spans="1:11" ht="24.75" customHeight="1">
      <c r="A106" s="29"/>
      <c r="B106" s="33"/>
      <c r="C106" s="58"/>
      <c r="D106" s="61"/>
      <c r="E106" s="61"/>
      <c r="F106" s="61"/>
      <c r="G106" s="61"/>
      <c r="H106" s="61"/>
      <c r="I106" s="62"/>
      <c r="J106" s="35"/>
      <c r="K106" s="29"/>
    </row>
    <row r="107" spans="1:11" ht="24.75" customHeight="1">
      <c r="A107" s="29"/>
      <c r="B107" s="33"/>
      <c r="C107" s="58"/>
      <c r="D107" s="61"/>
      <c r="E107" s="61"/>
      <c r="F107" s="61"/>
      <c r="G107" s="61"/>
      <c r="H107" s="61"/>
      <c r="I107" s="62"/>
      <c r="J107" s="35"/>
      <c r="K107" s="29"/>
    </row>
    <row r="108" spans="1:11" ht="24.75" customHeight="1">
      <c r="A108" s="29"/>
      <c r="B108" s="33"/>
      <c r="C108" s="58"/>
      <c r="D108" s="61"/>
      <c r="E108" s="61"/>
      <c r="F108" s="61"/>
      <c r="G108" s="61"/>
      <c r="H108" s="61"/>
      <c r="I108" s="62"/>
      <c r="J108" s="35"/>
      <c r="K108" s="29"/>
    </row>
    <row r="109" spans="1:11" ht="24.75" customHeight="1">
      <c r="A109" s="29"/>
      <c r="B109" s="33"/>
      <c r="C109" s="58"/>
      <c r="D109" s="61"/>
      <c r="E109" s="61"/>
      <c r="F109" s="61"/>
      <c r="G109" s="61"/>
      <c r="H109" s="61"/>
      <c r="I109" s="62"/>
      <c r="J109" s="35"/>
      <c r="K109" s="29"/>
    </row>
    <row r="110" spans="1:11" ht="24.75" customHeight="1">
      <c r="A110" s="29"/>
      <c r="B110" s="33"/>
      <c r="C110" s="63"/>
      <c r="D110" s="64"/>
      <c r="E110" s="64"/>
      <c r="F110" s="64"/>
      <c r="G110" s="64"/>
      <c r="H110" s="64"/>
      <c r="I110" s="65"/>
      <c r="J110" s="35"/>
      <c r="K110" s="29"/>
    </row>
  </sheetData>
  <mergeCells count="4">
    <mergeCell ref="C8:I8"/>
    <mergeCell ref="C9:I9"/>
    <mergeCell ref="D14:E14"/>
    <mergeCell ref="H14:I1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13"/>
  <sheetViews>
    <sheetView workbookViewId="0"/>
  </sheetViews>
  <sheetFormatPr defaultColWidth="12.5703125" defaultRowHeight="15.75" customHeight="1"/>
  <cols>
    <col min="2" max="2" width="27.140625" customWidth="1"/>
    <col min="3" max="3" width="2.28515625" customWidth="1"/>
    <col min="4" max="4" width="26.140625" customWidth="1"/>
    <col min="7" max="7" width="3" customWidth="1"/>
  </cols>
  <sheetData>
    <row r="1" spans="1:10">
      <c r="A1" s="22" t="s">
        <v>20</v>
      </c>
      <c r="B1" s="22" t="e">
        <f>'[1]Activity Template'!B8</f>
        <v>#REF!</v>
      </c>
      <c r="E1" s="22" t="s">
        <v>21</v>
      </c>
      <c r="F1" s="22" t="s">
        <v>22</v>
      </c>
    </row>
    <row r="2" spans="1:10">
      <c r="A2" s="22" t="s">
        <v>20</v>
      </c>
      <c r="B2" s="22" t="s">
        <v>23</v>
      </c>
      <c r="D2" s="22" t="s">
        <v>24</v>
      </c>
      <c r="E2" s="22" t="s">
        <v>20</v>
      </c>
      <c r="F2" s="22" t="s">
        <v>20</v>
      </c>
      <c r="H2" s="66" t="s">
        <v>25</v>
      </c>
      <c r="I2" s="22" t="s">
        <v>20</v>
      </c>
      <c r="J2" s="22" t="s">
        <v>20</v>
      </c>
    </row>
    <row r="3" spans="1:10">
      <c r="A3" s="22" t="s">
        <v>20</v>
      </c>
      <c r="B3" s="22" t="s">
        <v>26</v>
      </c>
      <c r="D3" s="22" t="s">
        <v>23</v>
      </c>
      <c r="E3" s="22" t="s">
        <v>20</v>
      </c>
      <c r="F3" s="22" t="s">
        <v>20</v>
      </c>
      <c r="H3" s="66" t="s">
        <v>27</v>
      </c>
      <c r="I3" s="22" t="s">
        <v>20</v>
      </c>
      <c r="J3" s="22" t="s">
        <v>20</v>
      </c>
    </row>
    <row r="4" spans="1:10">
      <c r="A4" s="22" t="s">
        <v>20</v>
      </c>
      <c r="B4" s="22" t="s">
        <v>28</v>
      </c>
      <c r="D4" s="22" t="s">
        <v>26</v>
      </c>
      <c r="E4" s="22" t="s">
        <v>20</v>
      </c>
      <c r="F4" s="22" t="s">
        <v>20</v>
      </c>
    </row>
    <row r="5" spans="1:10">
      <c r="A5" s="22" t="s">
        <v>20</v>
      </c>
      <c r="B5" s="22" t="s">
        <v>29</v>
      </c>
      <c r="D5" s="22" t="s">
        <v>28</v>
      </c>
      <c r="E5" s="22" t="s">
        <v>20</v>
      </c>
      <c r="F5" s="22" t="s">
        <v>20</v>
      </c>
    </row>
    <row r="6" spans="1:10">
      <c r="A6" s="22" t="s">
        <v>20</v>
      </c>
      <c r="B6" s="22" t="s">
        <v>30</v>
      </c>
      <c r="D6" s="22" t="s">
        <v>29</v>
      </c>
      <c r="E6" s="22" t="s">
        <v>20</v>
      </c>
      <c r="F6" s="22" t="s">
        <v>20</v>
      </c>
      <c r="H6" s="66" t="s">
        <v>31</v>
      </c>
      <c r="I6" s="22" t="s">
        <v>20</v>
      </c>
      <c r="J6" s="22" t="s">
        <v>20</v>
      </c>
    </row>
    <row r="7" spans="1:10">
      <c r="A7" s="22" t="s">
        <v>20</v>
      </c>
      <c r="B7" s="22" t="s">
        <v>32</v>
      </c>
      <c r="D7" s="22" t="s">
        <v>30</v>
      </c>
      <c r="E7" s="22" t="s">
        <v>20</v>
      </c>
      <c r="F7" s="22" t="s">
        <v>20</v>
      </c>
      <c r="H7" s="66" t="s">
        <v>33</v>
      </c>
      <c r="I7" s="22" t="s">
        <v>20</v>
      </c>
      <c r="J7" s="22" t="s">
        <v>20</v>
      </c>
    </row>
    <row r="8" spans="1:10">
      <c r="A8" s="22" t="s">
        <v>20</v>
      </c>
      <c r="B8" s="22" t="s">
        <v>34</v>
      </c>
      <c r="D8" s="22" t="s">
        <v>32</v>
      </c>
      <c r="E8" s="22" t="s">
        <v>20</v>
      </c>
      <c r="F8" s="22" t="s">
        <v>20</v>
      </c>
      <c r="H8" s="66" t="s">
        <v>35</v>
      </c>
      <c r="I8" s="22" t="s">
        <v>20</v>
      </c>
      <c r="J8" s="22" t="s">
        <v>20</v>
      </c>
    </row>
    <row r="9" spans="1:10">
      <c r="D9" s="22" t="s">
        <v>34</v>
      </c>
      <c r="E9" s="22" t="s">
        <v>20</v>
      </c>
      <c r="F9" s="22" t="s">
        <v>20</v>
      </c>
    </row>
    <row r="11" spans="1:10">
      <c r="H11" s="66" t="s">
        <v>36</v>
      </c>
      <c r="I11" s="22" t="s">
        <v>20</v>
      </c>
      <c r="J11" s="22" t="s">
        <v>20</v>
      </c>
    </row>
    <row r="12" spans="1:10">
      <c r="H12" s="66" t="s">
        <v>37</v>
      </c>
      <c r="I12" s="22" t="s">
        <v>20</v>
      </c>
      <c r="J12" s="22" t="s">
        <v>20</v>
      </c>
    </row>
    <row r="13" spans="1:10">
      <c r="H13" s="66" t="s">
        <v>38</v>
      </c>
      <c r="I13" s="22" t="s">
        <v>20</v>
      </c>
      <c r="J13" s="22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K31"/>
  <sheetViews>
    <sheetView showGridLines="0" workbookViewId="0"/>
  </sheetViews>
  <sheetFormatPr defaultColWidth="12.5703125" defaultRowHeight="15.75" customHeight="1"/>
  <sheetData>
    <row r="1" spans="1:11" ht="12.75">
      <c r="A1" s="67" t="s">
        <v>39</v>
      </c>
      <c r="B1" s="68"/>
      <c r="C1" s="68"/>
      <c r="D1" s="68"/>
      <c r="E1" s="68"/>
      <c r="F1" s="68"/>
      <c r="G1" s="68"/>
      <c r="H1" s="68"/>
      <c r="I1" s="68"/>
      <c r="J1" s="68"/>
      <c r="K1" s="68"/>
    </row>
    <row r="2" spans="1:11" ht="12.75">
      <c r="A2" s="68"/>
      <c r="B2" s="68"/>
      <c r="C2" s="68"/>
      <c r="D2" s="68"/>
      <c r="E2" s="68"/>
      <c r="F2" s="68"/>
      <c r="G2" s="68"/>
      <c r="H2" s="68"/>
      <c r="I2" s="68"/>
      <c r="J2" s="68"/>
      <c r="K2" s="68"/>
    </row>
    <row r="3" spans="1:11" ht="12.75">
      <c r="A3" s="68"/>
      <c r="B3" s="68"/>
      <c r="C3" s="68"/>
      <c r="D3" s="68"/>
      <c r="E3" s="68"/>
      <c r="F3" s="68"/>
      <c r="G3" s="68"/>
      <c r="H3" s="68"/>
      <c r="I3" s="68"/>
      <c r="J3" s="68"/>
      <c r="K3" s="68"/>
    </row>
    <row r="4" spans="1:11" ht="12.75">
      <c r="A4" s="68"/>
      <c r="B4" s="68"/>
      <c r="C4" s="68"/>
      <c r="D4" s="68"/>
      <c r="E4" s="68"/>
      <c r="F4" s="68"/>
      <c r="G4" s="68"/>
      <c r="H4" s="68"/>
      <c r="I4" s="68"/>
      <c r="J4" s="68"/>
      <c r="K4" s="68"/>
    </row>
    <row r="5" spans="1:11" ht="12.75">
      <c r="A5" s="68"/>
      <c r="B5" s="68"/>
      <c r="C5" s="68"/>
      <c r="D5" s="68"/>
      <c r="E5" s="68"/>
      <c r="F5" s="68"/>
      <c r="G5" s="68"/>
      <c r="H5" s="68"/>
      <c r="I5" s="68"/>
      <c r="J5" s="68"/>
      <c r="K5" s="68"/>
    </row>
    <row r="6" spans="1:11" ht="12.75">
      <c r="A6" s="68"/>
      <c r="B6" s="68"/>
      <c r="C6" s="68"/>
      <c r="D6" s="68"/>
      <c r="E6" s="68"/>
      <c r="F6" s="68"/>
      <c r="G6" s="68"/>
      <c r="H6" s="68"/>
      <c r="I6" s="68"/>
      <c r="J6" s="68"/>
      <c r="K6" s="68"/>
    </row>
    <row r="7" spans="1:11" ht="12.75">
      <c r="A7" s="68"/>
      <c r="B7" s="68"/>
      <c r="C7" s="68"/>
      <c r="D7" s="68"/>
      <c r="E7" s="68"/>
      <c r="F7" s="68"/>
      <c r="G7" s="68"/>
      <c r="H7" s="68"/>
      <c r="I7" s="68"/>
      <c r="J7" s="68"/>
      <c r="K7" s="68"/>
    </row>
    <row r="8" spans="1:11" ht="12.75">
      <c r="A8" s="68"/>
      <c r="B8" s="68"/>
      <c r="C8" s="68"/>
      <c r="D8" s="68"/>
      <c r="E8" s="68"/>
      <c r="F8" s="68"/>
      <c r="G8" s="68"/>
      <c r="H8" s="68"/>
      <c r="I8" s="68"/>
      <c r="J8" s="68"/>
      <c r="K8" s="68"/>
    </row>
    <row r="9" spans="1:11" ht="12.75">
      <c r="A9" s="68"/>
      <c r="B9" s="68"/>
      <c r="C9" s="68"/>
      <c r="D9" s="68"/>
      <c r="E9" s="68"/>
      <c r="F9" s="68"/>
      <c r="G9" s="68"/>
      <c r="H9" s="68"/>
      <c r="I9" s="68"/>
      <c r="J9" s="68"/>
      <c r="K9" s="68"/>
    </row>
    <row r="10" spans="1:11" ht="12.75">
      <c r="A10" s="68"/>
      <c r="B10" s="68"/>
      <c r="C10" s="68"/>
      <c r="D10" s="68"/>
      <c r="E10" s="68"/>
      <c r="F10" s="68"/>
      <c r="G10" s="68"/>
      <c r="H10" s="68"/>
      <c r="I10" s="68"/>
      <c r="J10" s="68"/>
      <c r="K10" s="68"/>
    </row>
    <row r="11" spans="1:11" ht="12.75">
      <c r="A11" s="68"/>
      <c r="B11" s="68"/>
      <c r="C11" s="68"/>
      <c r="D11" s="68"/>
      <c r="E11" s="68"/>
      <c r="F11" s="68"/>
      <c r="G11" s="68"/>
      <c r="H11" s="68"/>
      <c r="I11" s="68"/>
      <c r="J11" s="68"/>
      <c r="K11" s="68"/>
    </row>
    <row r="12" spans="1:11" ht="12.75">
      <c r="A12" s="68"/>
      <c r="B12" s="68"/>
      <c r="C12" s="68"/>
      <c r="D12" s="68"/>
      <c r="E12" s="68"/>
      <c r="F12" s="68"/>
      <c r="G12" s="68"/>
      <c r="H12" s="68"/>
      <c r="I12" s="68"/>
      <c r="J12" s="68"/>
      <c r="K12" s="68"/>
    </row>
    <row r="13" spans="1:11" ht="12.75">
      <c r="A13" s="68"/>
      <c r="B13" s="68"/>
      <c r="C13" s="68"/>
      <c r="D13" s="68"/>
      <c r="E13" s="68"/>
      <c r="F13" s="68"/>
      <c r="G13" s="68"/>
      <c r="H13" s="68"/>
      <c r="I13" s="68"/>
      <c r="J13" s="68"/>
      <c r="K13" s="68"/>
    </row>
    <row r="14" spans="1:11" ht="12.75">
      <c r="A14" s="68"/>
      <c r="B14" s="68"/>
      <c r="C14" s="68"/>
      <c r="D14" s="68"/>
      <c r="E14" s="68"/>
      <c r="F14" s="68"/>
      <c r="G14" s="68"/>
      <c r="H14" s="68"/>
      <c r="I14" s="68"/>
      <c r="J14" s="68"/>
      <c r="K14" s="68"/>
    </row>
    <row r="15" spans="1:11" ht="12.75">
      <c r="A15" s="68"/>
      <c r="B15" s="68"/>
      <c r="C15" s="68"/>
      <c r="D15" s="68"/>
      <c r="E15" s="68"/>
      <c r="F15" s="68"/>
      <c r="G15" s="68"/>
      <c r="H15" s="68"/>
      <c r="I15" s="68"/>
      <c r="J15" s="68"/>
      <c r="K15" s="68"/>
    </row>
    <row r="16" spans="1:11" ht="12.75">
      <c r="A16" s="68"/>
      <c r="B16" s="68"/>
      <c r="C16" s="68"/>
      <c r="D16" s="68"/>
      <c r="E16" s="68"/>
      <c r="F16" s="68"/>
      <c r="G16" s="68"/>
      <c r="H16" s="68"/>
      <c r="I16" s="68"/>
      <c r="J16" s="68"/>
      <c r="K16" s="68"/>
    </row>
    <row r="17" spans="1:11" ht="12.75">
      <c r="A17" s="68"/>
      <c r="B17" s="68"/>
      <c r="C17" s="68"/>
      <c r="D17" s="68"/>
      <c r="E17" s="68"/>
      <c r="F17" s="68"/>
      <c r="G17" s="68"/>
      <c r="H17" s="68"/>
      <c r="I17" s="68"/>
      <c r="J17" s="68"/>
      <c r="K17" s="68"/>
    </row>
    <row r="18" spans="1:11" ht="12.75">
      <c r="A18" s="68"/>
      <c r="B18" s="68"/>
      <c r="C18" s="68"/>
      <c r="D18" s="68"/>
      <c r="E18" s="68"/>
      <c r="F18" s="68"/>
      <c r="G18" s="68"/>
      <c r="H18" s="68"/>
      <c r="I18" s="68"/>
      <c r="J18" s="68"/>
      <c r="K18" s="68"/>
    </row>
    <row r="19" spans="1:11" ht="12.75">
      <c r="A19" s="68"/>
      <c r="B19" s="68"/>
      <c r="C19" s="68"/>
      <c r="D19" s="68"/>
      <c r="E19" s="68"/>
      <c r="F19" s="68"/>
      <c r="G19" s="68"/>
      <c r="H19" s="68"/>
      <c r="I19" s="68"/>
      <c r="J19" s="68"/>
      <c r="K19" s="68"/>
    </row>
    <row r="20" spans="1:11" ht="12.75">
      <c r="A20" s="68"/>
      <c r="B20" s="68"/>
      <c r="C20" s="68"/>
      <c r="D20" s="68"/>
      <c r="E20" s="68"/>
      <c r="F20" s="68"/>
      <c r="G20" s="68"/>
      <c r="H20" s="68"/>
      <c r="I20" s="68"/>
      <c r="J20" s="68"/>
      <c r="K20" s="68"/>
    </row>
    <row r="21" spans="1:11" ht="12.75">
      <c r="A21" s="68"/>
      <c r="B21" s="68"/>
      <c r="C21" s="68"/>
      <c r="D21" s="68"/>
      <c r="E21" s="68"/>
      <c r="F21" s="68"/>
      <c r="G21" s="68"/>
      <c r="H21" s="68"/>
      <c r="I21" s="68"/>
      <c r="J21" s="68"/>
      <c r="K21" s="68"/>
    </row>
    <row r="22" spans="1:11" ht="12.75">
      <c r="A22" s="68"/>
      <c r="B22" s="68"/>
      <c r="C22" s="68"/>
      <c r="D22" s="68"/>
      <c r="E22" s="68"/>
      <c r="F22" s="68"/>
      <c r="G22" s="68"/>
      <c r="H22" s="68"/>
      <c r="I22" s="68"/>
      <c r="J22" s="68"/>
      <c r="K22" s="68"/>
    </row>
    <row r="23" spans="1:11" ht="15.75" customHeight="1">
      <c r="A23" s="68"/>
      <c r="B23" s="73" t="s">
        <v>40</v>
      </c>
      <c r="C23" s="74"/>
      <c r="D23" s="74"/>
      <c r="E23" s="74"/>
      <c r="F23" s="74"/>
      <c r="G23" s="74"/>
      <c r="H23" s="74"/>
      <c r="I23" s="74"/>
      <c r="J23" s="74"/>
      <c r="K23" s="74"/>
    </row>
    <row r="24" spans="1:11" ht="12.75">
      <c r="A24" s="68"/>
      <c r="B24" s="68"/>
      <c r="C24" s="68"/>
      <c r="D24" s="68"/>
      <c r="E24" s="68"/>
      <c r="F24" s="68"/>
      <c r="G24" s="68"/>
      <c r="H24" s="68"/>
      <c r="I24" s="68"/>
      <c r="J24" s="68"/>
      <c r="K24" s="68"/>
    </row>
    <row r="25" spans="1:11" ht="15.75" customHeight="1">
      <c r="A25" s="68"/>
      <c r="B25" s="73" t="s">
        <v>41</v>
      </c>
      <c r="C25" s="74"/>
      <c r="D25" s="74"/>
      <c r="E25" s="74"/>
      <c r="F25" s="74"/>
      <c r="G25" s="74"/>
      <c r="H25" s="74"/>
      <c r="I25" s="74"/>
      <c r="J25" s="74"/>
      <c r="K25" s="74"/>
    </row>
    <row r="26" spans="1:11" ht="15.75" customHeight="1">
      <c r="A26" s="68"/>
      <c r="B26" s="73" t="s">
        <v>42</v>
      </c>
      <c r="C26" s="74"/>
      <c r="D26" s="74"/>
      <c r="E26" s="74"/>
      <c r="F26" s="74"/>
      <c r="G26" s="74"/>
      <c r="H26" s="74"/>
      <c r="I26" s="74"/>
      <c r="J26" s="74"/>
      <c r="K26" s="74"/>
    </row>
    <row r="27" spans="1:11" ht="15.75" customHeight="1">
      <c r="A27" s="68"/>
      <c r="B27" s="73" t="s">
        <v>43</v>
      </c>
      <c r="C27" s="74"/>
      <c r="D27" s="74"/>
      <c r="E27" s="74"/>
      <c r="F27" s="74"/>
      <c r="G27" s="74"/>
      <c r="H27" s="74"/>
      <c r="I27" s="74"/>
      <c r="J27" s="74"/>
      <c r="K27" s="74"/>
    </row>
    <row r="28" spans="1:11" ht="12.75">
      <c r="A28" s="68"/>
      <c r="B28" s="68"/>
      <c r="C28" s="68"/>
      <c r="D28" s="68"/>
      <c r="E28" s="68"/>
      <c r="F28" s="68"/>
      <c r="G28" s="68"/>
      <c r="H28" s="68"/>
      <c r="I28" s="68"/>
      <c r="J28" s="68"/>
      <c r="K28" s="68"/>
    </row>
    <row r="29" spans="1:11" ht="15.75" customHeight="1">
      <c r="A29" s="68"/>
      <c r="B29" s="73" t="s">
        <v>44</v>
      </c>
      <c r="C29" s="74"/>
      <c r="D29" s="74"/>
      <c r="E29" s="74"/>
      <c r="F29" s="74"/>
      <c r="G29" s="74"/>
      <c r="H29" s="74"/>
      <c r="I29" s="74"/>
      <c r="J29" s="74"/>
      <c r="K29" s="74"/>
    </row>
    <row r="30" spans="1:11" ht="12.75">
      <c r="A30" s="68"/>
      <c r="B30" s="68"/>
      <c r="C30" s="68"/>
      <c r="D30" s="68"/>
      <c r="E30" s="68"/>
      <c r="F30" s="68"/>
      <c r="G30" s="68"/>
      <c r="H30" s="68"/>
      <c r="I30" s="68"/>
      <c r="J30" s="68"/>
      <c r="K30" s="68"/>
    </row>
    <row r="31" spans="1:11" ht="12.75">
      <c r="A31" s="68"/>
      <c r="B31" s="68"/>
      <c r="C31" s="68"/>
      <c r="D31" s="68"/>
      <c r="E31" s="68"/>
      <c r="F31" s="68"/>
      <c r="G31" s="68"/>
      <c r="H31" s="68"/>
      <c r="I31" s="68"/>
      <c r="J31" s="68"/>
      <c r="K31" s="68"/>
    </row>
  </sheetData>
  <mergeCells count="5">
    <mergeCell ref="B23:K23"/>
    <mergeCell ref="B25:K25"/>
    <mergeCell ref="B26:K26"/>
    <mergeCell ref="B27:K27"/>
    <mergeCell ref="B29:K29"/>
  </mergeCells>
  <hyperlinks>
    <hyperlink ref="A1" r:id="rId1" location="gid=2113230748" xr:uid="{00000000-0004-0000-0300-000000000000}"/>
  </hyperlinks>
  <printOptions horizontalCentered="1" gridLines="1"/>
  <pageMargins left="0.7" right="0.7" top="0.75" bottom="0.75" header="0" footer="0"/>
  <pageSetup pageOrder="overThenDown" orientation="landscape" cellComments="atEnd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Ed-Shai26</dc:creator>
  <cp:keywords/>
  <dc:description/>
  <cp:lastModifiedBy>Mohsin Khan</cp:lastModifiedBy>
  <cp:revision/>
  <dcterms:created xsi:type="dcterms:W3CDTF">2023-06-14T10:04:17Z</dcterms:created>
  <dcterms:modified xsi:type="dcterms:W3CDTF">2026-02-04T22:20:29Z</dcterms:modified>
  <cp:category/>
  <cp:contentStatus/>
</cp:coreProperties>
</file>
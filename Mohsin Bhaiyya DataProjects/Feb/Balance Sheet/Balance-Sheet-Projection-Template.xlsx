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4C54201-4EB8-4F93-8549-5527E7BE73AB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Balance Sheet Projection" sheetId="1" r:id="rId1"/>
    <sheet name="Dashboard" sheetId="2" r:id="rId2"/>
    <sheet name="Instructions" sheetId="3" r:id="rId3"/>
    <sheet name="Chart Support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dvp4eaQhfs3GaDbfyhJR8nSFr/e0VV2eHtChSQzNNPo="/>
    </ext>
  </extLst>
</workbook>
</file>

<file path=xl/calcChain.xml><?xml version="1.0" encoding="utf-8"?>
<calcChain xmlns="http://schemas.openxmlformats.org/spreadsheetml/2006/main">
  <c r="I51" i="1" l="1"/>
  <c r="E51" i="1"/>
  <c r="I49" i="1"/>
  <c r="H49" i="1"/>
  <c r="G49" i="1"/>
  <c r="F49" i="1"/>
  <c r="F51" i="1" s="1"/>
  <c r="E49" i="1"/>
  <c r="I42" i="1"/>
  <c r="H42" i="1"/>
  <c r="G42" i="1"/>
  <c r="G51" i="1" s="1"/>
  <c r="F42" i="1"/>
  <c r="E42" i="1"/>
  <c r="I37" i="1"/>
  <c r="H37" i="1"/>
  <c r="H51" i="1" s="1"/>
  <c r="G37" i="1"/>
  <c r="F37" i="1"/>
  <c r="E37" i="1"/>
  <c r="I29" i="1"/>
  <c r="E29" i="1"/>
  <c r="K4" i="4" s="1" a="1"/>
  <c r="I27" i="1"/>
  <c r="H27" i="1"/>
  <c r="G27" i="1"/>
  <c r="F27" i="1"/>
  <c r="F29" i="1" s="1"/>
  <c r="E27" i="1"/>
  <c r="B11" i="4" s="1" a="1"/>
  <c r="I21" i="1"/>
  <c r="H21" i="1"/>
  <c r="G21" i="1"/>
  <c r="G29" i="1" s="1"/>
  <c r="F21" i="1"/>
  <c r="E21" i="1"/>
  <c r="I12" i="1"/>
  <c r="H12" i="1"/>
  <c r="H29" i="1" s="1"/>
  <c r="G12" i="1"/>
  <c r="F12" i="1"/>
  <c r="E12" i="1"/>
  <c r="B5" i="4" s="1" a="1"/>
  <c r="E5" i="4" s="1"/>
  <c r="R4" i="4" l="1"/>
  <c r="B16" i="2" s="1" a="1"/>
  <c r="N4" i="4"/>
  <c r="B8" i="2" s="1" a="1"/>
  <c r="K4" i="4"/>
  <c r="Q4" i="4"/>
  <c r="B14" i="2" s="1" a="1"/>
  <c r="M4" i="4"/>
  <c r="P4" i="4"/>
  <c r="B12" i="2" s="1" a="1"/>
  <c r="L4" i="4"/>
  <c r="O4" i="4"/>
  <c r="B10" i="2" s="1" a="1"/>
  <c r="K14" i="4" a="1"/>
  <c r="H5" i="4"/>
  <c r="D5" i="4"/>
  <c r="G5" i="4"/>
  <c r="C5" i="4"/>
  <c r="F5" i="4"/>
  <c r="B8" i="4" a="1"/>
  <c r="B16" i="4" a="1"/>
  <c r="I5" i="4"/>
  <c r="F11" i="4"/>
  <c r="I11" i="4"/>
  <c r="E11" i="4"/>
  <c r="B11" i="4"/>
  <c r="H11" i="4"/>
  <c r="D11" i="4"/>
  <c r="G11" i="4"/>
  <c r="C11" i="4"/>
  <c r="B19" i="4" a="1"/>
  <c r="B22" i="4" a="1"/>
  <c r="B5" i="4"/>
  <c r="I16" i="4" l="1"/>
  <c r="E16" i="4"/>
  <c r="B16" i="4"/>
  <c r="H16" i="4"/>
  <c r="D16" i="4"/>
  <c r="G16" i="4"/>
  <c r="C16" i="4"/>
  <c r="F16" i="4"/>
  <c r="B11" i="2"/>
  <c r="B10" i="2"/>
  <c r="B14" i="2"/>
  <c r="B15" i="2"/>
  <c r="G22" i="4"/>
  <c r="C22" i="4"/>
  <c r="F22" i="4"/>
  <c r="I22" i="4"/>
  <c r="E22" i="4"/>
  <c r="B22" i="4"/>
  <c r="H22" i="4"/>
  <c r="D22" i="4"/>
  <c r="G8" i="4"/>
  <c r="C8" i="4"/>
  <c r="F8" i="4"/>
  <c r="I8" i="4"/>
  <c r="E8" i="4"/>
  <c r="B8" i="4"/>
  <c r="H8" i="4"/>
  <c r="D8" i="4"/>
  <c r="H19" i="4"/>
  <c r="D19" i="4"/>
  <c r="G19" i="4"/>
  <c r="C19" i="4"/>
  <c r="F19" i="4"/>
  <c r="I19" i="4"/>
  <c r="E19" i="4"/>
  <c r="B19" i="4"/>
  <c r="B12" i="2"/>
  <c r="B13" i="2"/>
  <c r="B9" i="2"/>
  <c r="B8" i="2"/>
  <c r="O14" i="4"/>
  <c r="B32" i="2" s="1" a="1"/>
  <c r="R14" i="4"/>
  <c r="B38" i="2" s="1" a="1"/>
  <c r="N14" i="4"/>
  <c r="B30" i="2" s="1" a="1"/>
  <c r="K14" i="4"/>
  <c r="Q14" i="4"/>
  <c r="B36" i="2" s="1" a="1"/>
  <c r="M14" i="4"/>
  <c r="P14" i="4"/>
  <c r="B34" i="2" s="1" a="1"/>
  <c r="L14" i="4"/>
  <c r="B17" i="2"/>
  <c r="B16" i="2"/>
  <c r="B34" i="2" l="1"/>
  <c r="B35" i="2"/>
  <c r="B37" i="2"/>
  <c r="B36" i="2"/>
  <c r="B31" i="2"/>
  <c r="B30" i="2"/>
  <c r="B39" i="2"/>
  <c r="B38" i="2"/>
  <c r="B32" i="2"/>
  <c r="B33" i="2"/>
</calcChain>
</file>

<file path=xl/sharedStrings.xml><?xml version="1.0" encoding="utf-8"?>
<sst xmlns="http://schemas.openxmlformats.org/spreadsheetml/2006/main" count="55" uniqueCount="52">
  <si>
    <t>BALANCE SHEET PROJECTION</t>
  </si>
  <si>
    <t>ASSETS</t>
  </si>
  <si>
    <t>CURRENT ASSETS</t>
  </si>
  <si>
    <t>Cash and Cash Equivalents</t>
  </si>
  <si>
    <t xml:space="preserve">Accounts Receivable </t>
  </si>
  <si>
    <t>Less: Allowance for Doubtful Accounts</t>
  </si>
  <si>
    <t xml:space="preserve">Inventory </t>
  </si>
  <si>
    <t>Prepaid Expenses</t>
  </si>
  <si>
    <t>TOTAL CURRENT ASSETS</t>
  </si>
  <si>
    <t>PROPERTY, PLANT, AND EQUIPMENT (PPE)</t>
  </si>
  <si>
    <t>Land</t>
  </si>
  <si>
    <t>Buildings</t>
  </si>
  <si>
    <t>Construction Equipment</t>
  </si>
  <si>
    <t>Less: Accumulated Depreciation</t>
  </si>
  <si>
    <t xml:space="preserve">Vehicles </t>
  </si>
  <si>
    <t>TOTAL PPE</t>
  </si>
  <si>
    <t>OTHER LONG TERM ASSETS</t>
  </si>
  <si>
    <t xml:space="preserve">Investments </t>
  </si>
  <si>
    <t xml:space="preserve">Intangible Assets </t>
  </si>
  <si>
    <t>Less: Accumulated Amortization</t>
  </si>
  <si>
    <t>TOTAL OTHER LONG TERM ASSETS</t>
  </si>
  <si>
    <t>TOTAL ASSETS</t>
  </si>
  <si>
    <t>LIABILITIES AND SHAREHOLDER'S EQUITY</t>
  </si>
  <si>
    <t>CURRENT LIABILITIES</t>
  </si>
  <si>
    <t xml:space="preserve">Accounts Payable  </t>
  </si>
  <si>
    <t xml:space="preserve">Accrued Expenses </t>
  </si>
  <si>
    <t xml:space="preserve">Short-Term Loans </t>
  </si>
  <si>
    <t>TOTAL CURRENT LIABILITIES</t>
  </si>
  <si>
    <t>LONG-TERM LIABILITIES</t>
  </si>
  <si>
    <t xml:space="preserve">Long-Term Debt  </t>
  </si>
  <si>
    <t>Lease Obligations</t>
  </si>
  <si>
    <t>TOTAL LONG-TERM LIABILITIES</t>
  </si>
  <si>
    <t>SHAREHOLDER'S EQUITY</t>
  </si>
  <si>
    <t xml:space="preserve">Common Stock  </t>
  </si>
  <si>
    <t xml:space="preserve">Preferred Stock </t>
  </si>
  <si>
    <t>Additional Paid-in Capital</t>
  </si>
  <si>
    <t xml:space="preserve">Retained Earnings </t>
  </si>
  <si>
    <t>TOTAL SHAREHOLDER'S EQUITY</t>
  </si>
  <si>
    <t>TOTAL LIABILITIES AND SHAREHOLDER'S EQUITY</t>
  </si>
  <si>
    <t xml:space="preserve">COPYRIGHT © TEMPLATE.NET
</t>
  </si>
  <si>
    <t>Chicago, IL 60631</t>
  </si>
  <si>
    <t>DASHBOARD</t>
  </si>
  <si>
    <t>info@construct.com</t>
  </si>
  <si>
    <t>construct.com</t>
  </si>
  <si>
    <t>222 555 7777</t>
  </si>
  <si>
    <t>TOTAL LIABILITIES</t>
  </si>
  <si>
    <t>The following are instructions on how to use the template.</t>
  </si>
  <si>
    <t>1. There are no locked-up cells for easier editing of cell names.</t>
  </si>
  <si>
    <t>2. You can insert/add new notes by inserting another cell.</t>
  </si>
  <si>
    <t>3. Icons and images can be replaced by deleting and then inserting new image/s.</t>
  </si>
  <si>
    <t>4. Feel free to change any cell/ formula.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</si>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</sst>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9">
    <font>
      <sz val="10"/>
      <color rgb="FF000000"/>
      <name val="Arial"/>
      <scheme val="minor"/>
    </font>
    <font>
      <b/>
      <sz val="10"/>
      <color rgb="FF0B5394"/>
      <name val="Century Gothic"/>
      <family val="2"/>
    </font>
    <font>
      <sz val="10"/>
      <color theme="1"/>
      <name val="Century Gothic"/>
      <family val="2"/>
    </font>
    <font>
      <b/>
      <sz val="28"/>
      <color theme="1"/>
      <name val="Century Gothic"/>
      <family val="2"/>
    </font>
    <font>
      <sz val="10"/>
      <name val="Arial"/>
      <family val="2"/>
    </font>
    <font>
      <b/>
      <sz val="10"/>
      <color theme="1"/>
      <name val="Century Gothic"/>
      <family val="2"/>
    </font>
    <font>
      <sz val="16"/>
      <color rgb="FF000000"/>
      <name val="Arial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sz val="10"/>
      <color rgb="FF000000"/>
      <name val="Arial"/>
      <family val="2"/>
    </font>
    <font>
      <b/>
      <sz val="11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1"/>
      <color theme="1"/>
      <name val="Century Gothic"/>
      <family val="2"/>
    </font>
    <font>
      <sz val="10"/>
      <color rgb="FF1155CC"/>
      <name val="Helvetica Neue"/>
    </font>
    <font>
      <sz val="10"/>
      <color theme="1"/>
      <name val="Poppins"/>
    </font>
    <font>
      <b/>
      <sz val="53"/>
      <color theme="1"/>
      <name val="Oswald"/>
    </font>
    <font>
      <sz val="12"/>
      <color theme="1"/>
      <name val="Century Gothic"/>
      <family val="2"/>
    </font>
    <font>
      <b/>
      <sz val="72"/>
      <color theme="1"/>
      <name val="Federo"/>
    </font>
    <font>
      <sz val="12"/>
      <color rgb="FF000000"/>
      <name val="Century Gothic"/>
      <family val="2"/>
    </font>
    <font>
      <b/>
      <sz val="26"/>
      <color theme="7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202124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Century Gothic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/>
      <top/>
      <bottom/>
      <diagonal/>
    </border>
    <border>
      <left style="medium">
        <color rgb="FF757070"/>
      </left>
      <right style="medium">
        <color rgb="FF757070"/>
      </right>
      <top style="medium">
        <color rgb="FF757070"/>
      </top>
      <bottom style="medium">
        <color rgb="FF757070"/>
      </bottom>
      <diagonal/>
    </border>
    <border>
      <left style="medium">
        <color rgb="FF757070"/>
      </left>
      <right style="medium">
        <color rgb="FF757070"/>
      </right>
      <top/>
      <bottom/>
      <diagonal/>
    </border>
    <border>
      <left style="medium">
        <color rgb="FF757070"/>
      </left>
      <right style="medium">
        <color rgb="FF757070"/>
      </right>
      <top/>
      <bottom style="thin">
        <color rgb="FFD9D9D9"/>
      </bottom>
      <diagonal/>
    </border>
    <border>
      <left style="medium">
        <color rgb="FF757070"/>
      </left>
      <right style="medium">
        <color rgb="FF757070"/>
      </right>
      <top style="thin">
        <color rgb="FFD9D9D9"/>
      </top>
      <bottom/>
      <diagonal/>
    </border>
    <border>
      <left style="medium">
        <color rgb="FF757070"/>
      </left>
      <right style="medium">
        <color rgb="FF757070"/>
      </right>
      <top/>
      <bottom style="medium">
        <color rgb="FF75707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4" fontId="2" fillId="0" borderId="10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9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7" borderId="12" xfId="0" applyFont="1" applyFill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44" fontId="9" fillId="0" borderId="0" xfId="0" applyNumberFormat="1" applyFont="1"/>
    <xf numFmtId="0" fontId="28" fillId="0" borderId="0" xfId="0" applyFont="1"/>
    <xf numFmtId="0" fontId="2" fillId="0" borderId="7" xfId="0" applyFont="1" applyBorder="1" applyAlignment="1">
      <alignment vertical="center"/>
    </xf>
    <xf numFmtId="0" fontId="11" fillId="0" borderId="7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0" fillId="0" borderId="0" xfId="0" applyAlignment="1"/>
    <xf numFmtId="0" fontId="4" fillId="0" borderId="6" xfId="0" applyFont="1" applyBorder="1" applyAlignment="1"/>
    <xf numFmtId="0" fontId="5" fillId="2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left" vertical="center"/>
    </xf>
    <xf numFmtId="0" fontId="4" fillId="0" borderId="11" xfId="0" applyFont="1" applyBorder="1" applyAlignment="1"/>
    <xf numFmtId="164" fontId="2" fillId="3" borderId="11" xfId="0" applyNumberFormat="1" applyFont="1" applyFill="1" applyBorder="1" applyAlignment="1">
      <alignment horizontal="center" vertical="center"/>
    </xf>
    <xf numFmtId="0" fontId="4" fillId="0" borderId="8" xfId="0" applyFont="1" applyBorder="1" applyAlignment="1"/>
    <xf numFmtId="0" fontId="4" fillId="0" borderId="9" xfId="0" applyFont="1" applyBorder="1" applyAlignment="1"/>
    <xf numFmtId="0" fontId="5" fillId="4" borderId="11" xfId="0" applyFont="1" applyFill="1" applyBorder="1" applyAlignment="1">
      <alignment horizontal="center" vertical="center"/>
    </xf>
    <xf numFmtId="44" fontId="5" fillId="4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vertical="center"/>
    </xf>
    <xf numFmtId="44" fontId="5" fillId="4" borderId="11" xfId="0" applyNumberFormat="1" applyFont="1" applyFill="1" applyBorder="1" applyAlignment="1">
      <alignment vertical="center"/>
    </xf>
    <xf numFmtId="0" fontId="12" fillId="5" borderId="11" xfId="0" applyFont="1" applyFill="1" applyBorder="1" applyAlignment="1">
      <alignment horizontal="center" vertical="center"/>
    </xf>
    <xf numFmtId="44" fontId="12" fillId="5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64" fontId="13" fillId="3" borderId="11" xfId="0" applyNumberFormat="1" applyFont="1" applyFill="1" applyBorder="1" applyAlignment="1">
      <alignment horizontal="center" vertical="center"/>
    </xf>
    <xf numFmtId="44" fontId="2" fillId="4" borderId="11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44" fontId="2" fillId="6" borderId="11" xfId="0" applyNumberFormat="1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3" fillId="0" borderId="0" xfId="0" applyFont="1" applyAlignment="1"/>
    <xf numFmtId="0" fontId="24" fillId="0" borderId="0" xfId="0" applyFont="1" applyAlignment="1"/>
    <xf numFmtId="0" fontId="27" fillId="7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202124"/>
                </a:solidFill>
                <a:latin typeface="Arial black"/>
              </a:defRPr>
            </a:pPr>
            <a:r>
              <a:rPr lang="en-US" sz="1400" b="0" i="0">
                <a:solidFill>
                  <a:srgbClr val="202124"/>
                </a:solidFill>
                <a:latin typeface="Arial black"/>
              </a:rPr>
              <a:t>TOTAL CURRENT ASSETS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TOTAL CURRENT ASSETS 0 0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'Chart Support'!$E$4:$I$4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'Chart Support'!$E$5:$I$5</c:f>
              <c:numCache>
                <c:formatCode>_("$"* #,##0.00_);_("$"* \(#,##0.00\);_("$"* "-"??_);_(@_)</c:formatCode>
                <c:ptCount val="5"/>
                <c:pt idx="0">
                  <c:v>2280000</c:v>
                </c:pt>
                <c:pt idx="1">
                  <c:v>2325000</c:v>
                </c:pt>
                <c:pt idx="2">
                  <c:v>2230000</c:v>
                </c:pt>
                <c:pt idx="3">
                  <c:v>2325000</c:v>
                </c:pt>
                <c:pt idx="4">
                  <c:v>2425000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A3-4C31-B48F-9EB218713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6401542"/>
        <c:axId val="161886376"/>
        <c:axId val="0"/>
      </c:bar3DChart>
      <c:catAx>
        <c:axId val="816401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161886376"/>
        <c:crosses val="autoZero"/>
        <c:auto val="1"/>
        <c:lblAlgn val="ctr"/>
        <c:lblOffset val="100"/>
        <c:noMultiLvlLbl val="1"/>
      </c:catAx>
      <c:valAx>
        <c:axId val="161886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816401542"/>
        <c:crosses val="autoZero"/>
        <c:crossBetween val="between"/>
      </c:valAx>
    </c:plotArea>
    <c:plotVisOnly val="1"/>
    <c:dispBlanksAs val="zero"/>
    <c:showDLblsOverMax val="1"/>
  </c:chart>
  <c:spPr>
    <a:solidFill>
      <a:srgbClr val="EFEFE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202124"/>
                </a:solidFill>
                <a:latin typeface="Arial black"/>
              </a:defRPr>
            </a:pPr>
            <a:r>
              <a:rPr lang="en-US" sz="1400" b="0" i="0">
                <a:solidFill>
                  <a:srgbClr val="202124"/>
                </a:solidFill>
                <a:latin typeface="Arial black"/>
              </a:rPr>
              <a:t>TOTAL PPE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v>TOTAL PPE 0 0</c:v>
          </c:tx>
          <c:spPr>
            <a:solidFill>
              <a:srgbClr val="FFD966"/>
            </a:solidFill>
            <a:ln cmpd="sng">
              <a:solidFill>
                <a:srgbClr val="7F6000">
                  <a:alpha val="100000"/>
                </a:srgbClr>
              </a:solidFill>
            </a:ln>
          </c:spPr>
          <c:invertIfNegative val="1"/>
          <c:cat>
            <c:numRef>
              <c:f>'Chart Support'!$E$7:$I$7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'Chart Support'!$E$8:$I$8</c:f>
              <c:numCache>
                <c:formatCode>_("$"* #,##0.00_);_("$"* \(#,##0.00\);_("$"* "-"??_);_(@_)</c:formatCode>
                <c:ptCount val="5"/>
                <c:pt idx="0">
                  <c:v>5030000</c:v>
                </c:pt>
                <c:pt idx="1">
                  <c:v>4150000</c:v>
                </c:pt>
                <c:pt idx="2">
                  <c:v>5530000</c:v>
                </c:pt>
                <c:pt idx="3">
                  <c:v>5250000</c:v>
                </c:pt>
                <c:pt idx="4">
                  <c:v>5150000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7F6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10-4A6A-8513-0F95C80E9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0513886"/>
        <c:axId val="496439130"/>
        <c:axId val="0"/>
      </c:bar3DChart>
      <c:catAx>
        <c:axId val="8705138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496439130"/>
        <c:crosses val="autoZero"/>
        <c:auto val="1"/>
        <c:lblAlgn val="ctr"/>
        <c:lblOffset val="100"/>
        <c:noMultiLvlLbl val="1"/>
      </c:catAx>
      <c:valAx>
        <c:axId val="4964391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870513886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Arial black"/>
              </a:defRPr>
            </a:pPr>
            <a:r>
              <a:rPr lang="en-US" sz="1400" b="0" i="0">
                <a:solidFill>
                  <a:srgbClr val="000000"/>
                </a:solidFill>
                <a:latin typeface="Arial black"/>
              </a:rPr>
              <a:t>TOTAL CURRENT LIABILITIES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TOTAL CURRENT LIABILITIES 0 0</c:v>
          </c:tx>
          <c:spPr>
            <a:solidFill>
              <a:srgbClr val="FFE599"/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1">
                    <a:latin typeface="Arial black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'Chart Support'!$E$15:$I$15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'Chart Support'!$E$16:$I$16</c:f>
              <c:numCache>
                <c:formatCode>_("$"* #,##0.00_);_("$"* \(#,##0.00\);_("$"* "-"??_);_(@_)</c:formatCode>
                <c:ptCount val="5"/>
                <c:pt idx="0">
                  <c:v>900000</c:v>
                </c:pt>
                <c:pt idx="1">
                  <c:v>975000</c:v>
                </c:pt>
                <c:pt idx="2">
                  <c:v>900000</c:v>
                </c:pt>
                <c:pt idx="3">
                  <c:v>975000</c:v>
                </c:pt>
                <c:pt idx="4">
                  <c:v>975000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434343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D8-4269-AE80-B248DC615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4640670"/>
        <c:axId val="1297692530"/>
        <c:axId val="0"/>
      </c:bar3DChart>
      <c:catAx>
        <c:axId val="1614640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1297692530"/>
        <c:crosses val="autoZero"/>
        <c:auto val="1"/>
        <c:lblAlgn val="ctr"/>
        <c:lblOffset val="100"/>
        <c:noMultiLvlLbl val="1"/>
      </c:catAx>
      <c:valAx>
        <c:axId val="12976925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1614640670"/>
        <c:crosses val="autoZero"/>
        <c:crossBetween val="between"/>
      </c:valAx>
    </c:plotArea>
    <c:plotVisOnly val="1"/>
    <c:dispBlanksAs val="zero"/>
    <c:showDLblsOverMax val="1"/>
  </c:chart>
  <c:spPr>
    <a:solidFill>
      <a:srgbClr val="EFEFE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202124"/>
                </a:solidFill>
                <a:latin typeface="Arial black"/>
              </a:defRPr>
            </a:pPr>
            <a:r>
              <a:rPr lang="en-US" sz="1400" b="0" i="0">
                <a:solidFill>
                  <a:srgbClr val="202124"/>
                </a:solidFill>
                <a:latin typeface="Arial black"/>
              </a:rPr>
              <a:t>TOTAL LONG-TERM LIABILITIES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LONG-TERM LIABILITIES 0 0</c:v>
          </c:tx>
          <c:spPr>
            <a:ln w="28575" cmpd="sng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numRef>
              <c:f>'Chart Support'!$E$18:$I$18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'Chart Support'!$E$19:$I$19</c:f>
              <c:numCache>
                <c:formatCode>_("$"* #,##0.00_);_("$"* \(#,##0.00\);_("$"* "-"??_);_(@_)</c:formatCode>
                <c:ptCount val="5"/>
                <c:pt idx="0">
                  <c:v>3300000</c:v>
                </c:pt>
                <c:pt idx="1">
                  <c:v>2500000</c:v>
                </c:pt>
                <c:pt idx="2">
                  <c:v>3300000</c:v>
                </c:pt>
                <c:pt idx="3">
                  <c:v>3350000</c:v>
                </c:pt>
                <c:pt idx="4">
                  <c:v>3450000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6-4EA2-A77E-F03593B58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353135"/>
        <c:axId val="1324223375"/>
      </c:lineChart>
      <c:catAx>
        <c:axId val="159535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1324223375"/>
        <c:crosses val="autoZero"/>
        <c:auto val="1"/>
        <c:lblAlgn val="ctr"/>
        <c:lblOffset val="100"/>
        <c:noMultiLvlLbl val="1"/>
      </c:catAx>
      <c:valAx>
        <c:axId val="1324223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1595353135"/>
        <c:crosses val="autoZero"/>
        <c:crossBetween val="between"/>
      </c:valAx>
    </c:plotArea>
    <c:plotVisOnly val="1"/>
    <c:dispBlanksAs val="zero"/>
    <c:showDLblsOverMax val="1"/>
  </c:chart>
  <c:spPr>
    <a:solidFill>
      <a:srgbClr val="EFEFE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202124"/>
                </a:solidFill>
                <a:latin typeface="Arial black"/>
                <a:ea typeface="+mn-ea"/>
                <a:cs typeface="+mn-cs"/>
              </a:defRPr>
            </a:pPr>
            <a:r>
              <a:rPr lang="en-US" b="0">
                <a:solidFill>
                  <a:srgbClr val="202124"/>
                </a:solidFill>
                <a:latin typeface="Arial black"/>
              </a:rPr>
              <a:t>TOTAL OTHER LONG TERM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0" i="0" u="none" strike="noStrike" kern="1200" baseline="0">
              <a:solidFill>
                <a:srgbClr val="202124"/>
              </a:solidFill>
              <a:latin typeface="Arial black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rAngAx val="1"/>
    </c:view3D>
    <c:floor>
      <c:thickness val="0"/>
      <c:spPr>
        <a:noFill/>
        <a:ln w="6350" cap="flat" cmpd="sng" algn="ctr">
          <a:solidFill>
            <a:schemeClr val="tx1">
              <a:tint val="7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'Chart Support'!$B$11</c:f>
              <c:strCache>
                <c:ptCount val="1"/>
                <c:pt idx="0">
                  <c:v>TOTAL OTHER LONG TERM ASSETS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7A3F-415C-926D-C3B0E2C6B224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1F7-427F-8B77-20DED2CD253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1F7-427F-8B77-20DED2CD253C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1F7-427F-8B77-20DED2CD253C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1F7-427F-8B77-20DED2CD253C}"/>
              </c:ext>
            </c:extLst>
          </c:dPt>
          <c:cat>
            <c:numRef>
              <c:f>'Chart Support'!$C$10:$I$10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'Chart Support'!$C$11:$I$11</c:f>
              <c:numCache>
                <c:formatCode>_("$"* #,##0.00_);_("$"* \(#,##0.00\);_("$"* "-"??_);_(@_)</c:formatCode>
                <c:ptCount val="5"/>
                <c:pt idx="0">
                  <c:v>340000</c:v>
                </c:pt>
                <c:pt idx="1">
                  <c:v>288000</c:v>
                </c:pt>
                <c:pt idx="2">
                  <c:v>240000</c:v>
                </c:pt>
                <c:pt idx="3">
                  <c:v>438000</c:v>
                </c:pt>
                <c:pt idx="4">
                  <c:v>488000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F-415C-926D-C3B0E2C6B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0" i="0" u="none" strike="noStrike" kern="1200" baseline="0">
              <a:solidFill>
                <a:srgbClr val="1A1A1A"/>
              </a:solidFill>
              <a:latin typeface="Arial black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FEFEF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202124"/>
                </a:solidFill>
                <a:latin typeface="Arial black"/>
              </a:defRPr>
            </a:pPr>
            <a:r>
              <a:rPr lang="en-US" b="0">
                <a:solidFill>
                  <a:srgbClr val="202124"/>
                </a:solidFill>
                <a:latin typeface="Arial black"/>
              </a:rPr>
              <a:t>TOTAL SHAREHOLDER'S EQUITY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'Chart Support'!$B$22</c:f>
              <c:strCache>
                <c:ptCount val="1"/>
                <c:pt idx="0">
                  <c:v>TOTAL SHAREHOLDER'S EQUITY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'Chart Support'!$C$21:$I$21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'Chart Support'!$C$22:$I$22</c:f>
              <c:numCache>
                <c:formatCode>_("$"* #,##0.00_);_("$"* \(#,##0.00\);_("$"* "-"??_);_(@_)</c:formatCode>
                <c:ptCount val="5"/>
                <c:pt idx="0">
                  <c:v>3250000</c:v>
                </c:pt>
                <c:pt idx="1">
                  <c:v>4188000</c:v>
                </c:pt>
                <c:pt idx="2">
                  <c:v>3900000</c:v>
                </c:pt>
                <c:pt idx="3">
                  <c:v>3788000</c:v>
                </c:pt>
                <c:pt idx="4">
                  <c:v>3838000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7D-4FB4-9862-1D2D0F85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365018"/>
        <c:axId val="1765771557"/>
        <c:axId val="0"/>
      </c:bar3DChart>
      <c:catAx>
        <c:axId val="1013650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1765771557"/>
        <c:crosses val="autoZero"/>
        <c:auto val="1"/>
        <c:lblAlgn val="ctr"/>
        <c:lblOffset val="100"/>
        <c:noMultiLvlLbl val="1"/>
      </c:catAx>
      <c:valAx>
        <c:axId val="17657715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endParaRPr lang="en-US"/>
          </a:p>
        </c:txPr>
        <c:crossAx val="10136501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FEFE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222250</xdr:colOff>
      <xdr:row>0</xdr:row>
      <xdr:rowOff>57151</xdr:rowOff>
    </xdr:from>
    <xdr:ext cx="1612900" cy="1308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6150" y="57151"/>
          <a:ext cx="1612900" cy="1308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771525</xdr:colOff>
      <xdr:row>5</xdr:row>
      <xdr:rowOff>180974</xdr:rowOff>
    </xdr:from>
    <xdr:ext cx="6930790" cy="4111155"/>
    <xdr:graphicFrame macro="">
      <xdr:nvGraphicFramePr>
        <xdr:cNvPr id="1245248967" name="Chart 1" title="Chart">
          <a:extLst>
            <a:ext uri="{FF2B5EF4-FFF2-40B4-BE49-F238E27FC236}">
              <a16:creationId xmlns:a16="http://schemas.microsoft.com/office/drawing/2014/main" id="{00000000-0008-0000-0100-0000C7FD3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17</xdr:row>
      <xdr:rowOff>66675</xdr:rowOff>
    </xdr:from>
    <xdr:ext cx="15134167" cy="2533650"/>
    <xdr:graphicFrame macro="">
      <xdr:nvGraphicFramePr>
        <xdr:cNvPr id="619880115" name="Chart 2" title="Chart">
          <a:extLst>
            <a:ext uri="{FF2B5EF4-FFF2-40B4-BE49-F238E27FC236}">
              <a16:creationId xmlns:a16="http://schemas.microsoft.com/office/drawing/2014/main" id="{00000000-0008-0000-0100-0000B39EF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76200</xdr:colOff>
      <xdr:row>28</xdr:row>
      <xdr:rowOff>47625</xdr:rowOff>
    </xdr:from>
    <xdr:ext cx="6556021" cy="3962400"/>
    <xdr:graphicFrame macro="">
      <xdr:nvGraphicFramePr>
        <xdr:cNvPr id="1211611766" name="Chart 3" title="Chart">
          <a:extLst>
            <a:ext uri="{FF2B5EF4-FFF2-40B4-BE49-F238E27FC236}">
              <a16:creationId xmlns:a16="http://schemas.microsoft.com/office/drawing/2014/main" id="{00000000-0008-0000-0100-000076BA3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379942</xdr:colOff>
      <xdr:row>28</xdr:row>
      <xdr:rowOff>57150</xdr:rowOff>
    </xdr:from>
    <xdr:ext cx="5753100" cy="3962400"/>
    <xdr:graphicFrame macro="">
      <xdr:nvGraphicFramePr>
        <xdr:cNvPr id="901718518" name="Chart 4" title="Chart">
          <a:extLst>
            <a:ext uri="{FF2B5EF4-FFF2-40B4-BE49-F238E27FC236}">
              <a16:creationId xmlns:a16="http://schemas.microsoft.com/office/drawing/2014/main" id="{00000000-0008-0000-0100-0000F621B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133350</xdr:colOff>
      <xdr:row>5</xdr:row>
      <xdr:rowOff>171449</xdr:rowOff>
    </xdr:from>
    <xdr:ext cx="5181835" cy="4132439"/>
    <xdr:graphicFrame macro="">
      <xdr:nvGraphicFramePr>
        <xdr:cNvPr id="1242607508" name="Chart 5" title="Chart">
          <a:extLst>
            <a:ext uri="{FF2B5EF4-FFF2-40B4-BE49-F238E27FC236}">
              <a16:creationId xmlns:a16="http://schemas.microsoft.com/office/drawing/2014/main" id="{00000000-0008-0000-0100-000094AF1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3294</xdr:colOff>
      <xdr:row>39</xdr:row>
      <xdr:rowOff>38100</xdr:rowOff>
    </xdr:from>
    <xdr:ext cx="15283744" cy="2878196"/>
    <xdr:graphicFrame macro="">
      <xdr:nvGraphicFramePr>
        <xdr:cNvPr id="1558023951" name="Chart 6" title="Chart">
          <a:extLst>
            <a:ext uri="{FF2B5EF4-FFF2-40B4-BE49-F238E27FC236}">
              <a16:creationId xmlns:a16="http://schemas.microsoft.com/office/drawing/2014/main" id="{00000000-0008-0000-0100-00000F8FD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1171575</xdr:colOff>
      <xdr:row>0</xdr:row>
      <xdr:rowOff>57150</xdr:rowOff>
    </xdr:from>
    <xdr:ext cx="1362075" cy="1095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05700" cy="35337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construct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52"/>
  <sheetViews>
    <sheetView showGridLines="0" topLeftCell="A36" workbookViewId="0">
      <selection activeCell="K45" sqref="K45"/>
    </sheetView>
  </sheetViews>
  <sheetFormatPr defaultColWidth="12.5703125" defaultRowHeight="15" customHeight="1"/>
  <cols>
    <col min="1" max="1" width="3.28515625" customWidth="1"/>
    <col min="2" max="2" width="7.140625" customWidth="1"/>
    <col min="3" max="3" width="19.42578125" customWidth="1"/>
    <col min="4" max="4" width="26.28515625" customWidth="1"/>
    <col min="5" max="9" width="19.140625" customWidth="1"/>
    <col min="10" max="10" width="4.140625" customWidth="1"/>
  </cols>
  <sheetData>
    <row r="1" spans="1:10" ht="15.75" customHeight="1"/>
    <row r="2" spans="1:10" ht="34.5" customHeight="1">
      <c r="B2" s="1"/>
      <c r="C2" s="2"/>
      <c r="D2" s="43" t="s">
        <v>0</v>
      </c>
      <c r="E2" s="46"/>
      <c r="F2" s="46"/>
      <c r="G2" s="46"/>
      <c r="H2" s="46"/>
      <c r="I2" s="47"/>
      <c r="J2" s="3"/>
    </row>
    <row r="3" spans="1:10" ht="34.5" customHeight="1">
      <c r="D3" s="48"/>
      <c r="E3" s="49"/>
      <c r="F3" s="49"/>
      <c r="G3" s="49"/>
      <c r="H3" s="49"/>
      <c r="I3" s="50"/>
      <c r="J3" s="3"/>
    </row>
    <row r="4" spans="1:10" ht="17.25" customHeight="1">
      <c r="B4" s="44"/>
      <c r="C4" s="49"/>
      <c r="D4" s="49"/>
      <c r="J4" s="5"/>
    </row>
    <row r="5" spans="1:10" ht="31.5" customHeight="1">
      <c r="A5" s="6"/>
      <c r="B5" s="45" t="s">
        <v>1</v>
      </c>
      <c r="C5" s="49"/>
      <c r="D5" s="49"/>
      <c r="E5" s="51">
        <v>2019</v>
      </c>
      <c r="F5" s="51">
        <v>2020</v>
      </c>
      <c r="G5" s="51">
        <v>2021</v>
      </c>
      <c r="H5" s="51">
        <v>2022</v>
      </c>
      <c r="I5" s="51">
        <v>2023</v>
      </c>
      <c r="J5" s="7"/>
    </row>
    <row r="6" spans="1:10" ht="18" customHeight="1">
      <c r="A6" s="8"/>
      <c r="B6" s="52" t="s">
        <v>2</v>
      </c>
      <c r="C6" s="53"/>
      <c r="D6" s="53"/>
      <c r="E6" s="54"/>
      <c r="F6" s="54"/>
      <c r="G6" s="54"/>
      <c r="H6" s="54"/>
      <c r="I6" s="54"/>
      <c r="J6" s="9"/>
    </row>
    <row r="7" spans="1:10" ht="18.75" customHeight="1">
      <c r="B7" s="40" t="s">
        <v>3</v>
      </c>
      <c r="C7" s="55"/>
      <c r="D7" s="56"/>
      <c r="E7" s="10">
        <v>250000</v>
      </c>
      <c r="F7" s="10">
        <v>300000</v>
      </c>
      <c r="G7" s="10">
        <v>400000</v>
      </c>
      <c r="H7" s="10">
        <v>500000</v>
      </c>
      <c r="I7" s="10">
        <v>500000</v>
      </c>
      <c r="J7" s="3"/>
    </row>
    <row r="8" spans="1:10" ht="18.75" customHeight="1">
      <c r="B8" s="40" t="s">
        <v>4</v>
      </c>
      <c r="C8" s="55"/>
      <c r="D8" s="56"/>
      <c r="E8" s="10">
        <v>850000</v>
      </c>
      <c r="F8" s="10">
        <v>900000</v>
      </c>
      <c r="G8" s="10">
        <v>650000</v>
      </c>
      <c r="H8" s="10">
        <v>700000</v>
      </c>
      <c r="I8" s="10">
        <v>800000</v>
      </c>
      <c r="J8" s="3"/>
    </row>
    <row r="9" spans="1:10" ht="18.75" customHeight="1">
      <c r="B9" s="41" t="s">
        <v>5</v>
      </c>
      <c r="C9" s="55"/>
      <c r="D9" s="56"/>
      <c r="E9" s="10">
        <v>-50000</v>
      </c>
      <c r="F9" s="10">
        <v>-60000</v>
      </c>
      <c r="G9" s="10">
        <v>-50000</v>
      </c>
      <c r="H9" s="10">
        <v>-60000</v>
      </c>
      <c r="I9" s="10">
        <v>-60000</v>
      </c>
      <c r="J9" s="3"/>
    </row>
    <row r="10" spans="1:10" ht="18.75" customHeight="1">
      <c r="B10" s="40" t="s">
        <v>6</v>
      </c>
      <c r="C10" s="55"/>
      <c r="D10" s="56"/>
      <c r="E10" s="10">
        <v>1200000</v>
      </c>
      <c r="F10" s="10">
        <v>1150000</v>
      </c>
      <c r="G10" s="10">
        <v>1200000</v>
      </c>
      <c r="H10" s="10">
        <v>1150000</v>
      </c>
      <c r="I10" s="10">
        <v>1150000</v>
      </c>
      <c r="J10" s="3"/>
    </row>
    <row r="11" spans="1:10" ht="18.75" customHeight="1">
      <c r="B11" s="40" t="s">
        <v>7</v>
      </c>
      <c r="C11" s="55"/>
      <c r="D11" s="56"/>
      <c r="E11" s="10">
        <v>30000</v>
      </c>
      <c r="F11" s="10">
        <v>35000</v>
      </c>
      <c r="G11" s="10">
        <v>30000</v>
      </c>
      <c r="H11" s="10">
        <v>35000</v>
      </c>
      <c r="I11" s="10">
        <v>35000</v>
      </c>
      <c r="J11" s="3"/>
    </row>
    <row r="12" spans="1:10" ht="15.75" customHeight="1">
      <c r="A12" s="8"/>
      <c r="B12" s="57" t="s">
        <v>8</v>
      </c>
      <c r="C12" s="53"/>
      <c r="D12" s="53"/>
      <c r="E12" s="58">
        <f t="shared" ref="E12:I12" si="0">SUM(E7:E11)</f>
        <v>2280000</v>
      </c>
      <c r="F12" s="58">
        <f t="shared" si="0"/>
        <v>2325000</v>
      </c>
      <c r="G12" s="58">
        <f t="shared" si="0"/>
        <v>2230000</v>
      </c>
      <c r="H12" s="58">
        <f t="shared" si="0"/>
        <v>2325000</v>
      </c>
      <c r="I12" s="58">
        <f t="shared" si="0"/>
        <v>2425000</v>
      </c>
      <c r="J12" s="9"/>
    </row>
    <row r="13" spans="1:10" ht="15.75" customHeight="1">
      <c r="B13" s="9"/>
      <c r="C13" s="9"/>
      <c r="D13" s="9"/>
      <c r="E13" s="11"/>
      <c r="F13" s="11"/>
      <c r="G13" s="11"/>
      <c r="H13" s="11"/>
      <c r="I13" s="11"/>
      <c r="J13" s="3"/>
    </row>
    <row r="14" spans="1:10" ht="18" customHeight="1">
      <c r="A14" s="8"/>
      <c r="B14" s="52" t="s">
        <v>9</v>
      </c>
      <c r="C14" s="53"/>
      <c r="D14" s="53"/>
      <c r="E14" s="54"/>
      <c r="F14" s="54"/>
      <c r="G14" s="54"/>
      <c r="H14" s="54"/>
      <c r="I14" s="54"/>
      <c r="J14" s="9"/>
    </row>
    <row r="15" spans="1:10" ht="18.75" customHeight="1">
      <c r="B15" s="40" t="s">
        <v>10</v>
      </c>
      <c r="C15" s="55"/>
      <c r="D15" s="56"/>
      <c r="E15" s="10">
        <v>500000</v>
      </c>
      <c r="F15" s="10">
        <v>500000</v>
      </c>
      <c r="G15" s="10">
        <v>500000</v>
      </c>
      <c r="H15" s="10">
        <v>500000</v>
      </c>
      <c r="I15" s="10">
        <v>500000</v>
      </c>
      <c r="J15" s="3"/>
    </row>
    <row r="16" spans="1:10" ht="18.75" customHeight="1">
      <c r="B16" s="40" t="s">
        <v>11</v>
      </c>
      <c r="C16" s="55"/>
      <c r="D16" s="56"/>
      <c r="E16" s="10">
        <v>2000000</v>
      </c>
      <c r="F16" s="10">
        <v>1000000</v>
      </c>
      <c r="G16" s="10">
        <v>2000000</v>
      </c>
      <c r="H16" s="10">
        <v>2000000</v>
      </c>
      <c r="I16" s="10">
        <v>2000000</v>
      </c>
      <c r="J16" s="3"/>
    </row>
    <row r="17" spans="1:10" ht="18.75" customHeight="1">
      <c r="B17" s="40" t="s">
        <v>12</v>
      </c>
      <c r="C17" s="55"/>
      <c r="D17" s="56"/>
      <c r="E17" s="10">
        <v>3500000</v>
      </c>
      <c r="F17" s="10">
        <v>3800000</v>
      </c>
      <c r="G17" s="10">
        <v>4000000</v>
      </c>
      <c r="H17" s="10">
        <v>3800000</v>
      </c>
      <c r="I17" s="10">
        <v>3800000</v>
      </c>
      <c r="J17" s="3"/>
    </row>
    <row r="18" spans="1:10" ht="18.75" customHeight="1">
      <c r="B18" s="41" t="s">
        <v>13</v>
      </c>
      <c r="C18" s="55"/>
      <c r="D18" s="56"/>
      <c r="E18" s="10">
        <v>-1200000</v>
      </c>
      <c r="F18" s="10">
        <v>-1400000</v>
      </c>
      <c r="G18" s="10">
        <v>-1200000</v>
      </c>
      <c r="H18" s="10">
        <v>-1400000</v>
      </c>
      <c r="I18" s="10">
        <v>-1400000</v>
      </c>
      <c r="J18" s="3"/>
    </row>
    <row r="19" spans="1:10" ht="18.75" customHeight="1">
      <c r="B19" s="40" t="s">
        <v>14</v>
      </c>
      <c r="C19" s="55"/>
      <c r="D19" s="56"/>
      <c r="E19" s="10">
        <v>350000</v>
      </c>
      <c r="F19" s="10">
        <v>400000</v>
      </c>
      <c r="G19" s="10">
        <v>350000</v>
      </c>
      <c r="H19" s="10">
        <v>500000</v>
      </c>
      <c r="I19" s="10">
        <v>400000</v>
      </c>
      <c r="J19" s="3"/>
    </row>
    <row r="20" spans="1:10" ht="18.75" customHeight="1">
      <c r="B20" s="41" t="s">
        <v>13</v>
      </c>
      <c r="C20" s="55"/>
      <c r="D20" s="56"/>
      <c r="E20" s="10">
        <v>-120000</v>
      </c>
      <c r="F20" s="10">
        <v>-150000</v>
      </c>
      <c r="G20" s="10">
        <v>-120000</v>
      </c>
      <c r="H20" s="10">
        <v>-150000</v>
      </c>
      <c r="I20" s="10">
        <v>-150000</v>
      </c>
      <c r="J20" s="3"/>
    </row>
    <row r="21" spans="1:10" ht="16.5" customHeight="1">
      <c r="B21" s="57" t="s">
        <v>15</v>
      </c>
      <c r="C21" s="53"/>
      <c r="D21" s="53"/>
      <c r="E21" s="58">
        <f t="shared" ref="E21:I21" si="1">SUM(E15:E20)</f>
        <v>5030000</v>
      </c>
      <c r="F21" s="58">
        <f t="shared" si="1"/>
        <v>4150000</v>
      </c>
      <c r="G21" s="58">
        <f t="shared" si="1"/>
        <v>5530000</v>
      </c>
      <c r="H21" s="58">
        <f t="shared" si="1"/>
        <v>5250000</v>
      </c>
      <c r="I21" s="58">
        <f t="shared" si="1"/>
        <v>5150000</v>
      </c>
      <c r="J21" s="3"/>
    </row>
    <row r="22" spans="1:10" ht="15.75" customHeight="1">
      <c r="B22" s="9"/>
      <c r="C22" s="9"/>
      <c r="D22" s="9"/>
      <c r="E22" s="11"/>
      <c r="F22" s="11"/>
      <c r="G22" s="11"/>
      <c r="H22" s="11"/>
      <c r="I22" s="11"/>
      <c r="J22" s="3"/>
    </row>
    <row r="23" spans="1:10" ht="18" customHeight="1">
      <c r="A23" s="8"/>
      <c r="B23" s="59" t="s">
        <v>16</v>
      </c>
      <c r="C23" s="53"/>
      <c r="D23" s="53"/>
      <c r="E23" s="54"/>
      <c r="F23" s="54"/>
      <c r="G23" s="54"/>
      <c r="H23" s="54"/>
      <c r="I23" s="54"/>
      <c r="J23" s="9"/>
    </row>
    <row r="24" spans="1:10" ht="18.75" customHeight="1">
      <c r="B24" s="40" t="s">
        <v>17</v>
      </c>
      <c r="C24" s="55"/>
      <c r="D24" s="56"/>
      <c r="E24" s="10">
        <v>300000</v>
      </c>
      <c r="F24" s="10">
        <v>250000</v>
      </c>
      <c r="G24" s="10">
        <v>200000</v>
      </c>
      <c r="H24" s="10">
        <v>350000</v>
      </c>
      <c r="I24" s="10">
        <v>450000</v>
      </c>
      <c r="J24" s="3"/>
    </row>
    <row r="25" spans="1:10" ht="18.75" customHeight="1">
      <c r="B25" s="40" t="s">
        <v>18</v>
      </c>
      <c r="C25" s="55"/>
      <c r="D25" s="56"/>
      <c r="E25" s="10">
        <v>50000</v>
      </c>
      <c r="F25" s="10">
        <v>50000</v>
      </c>
      <c r="G25" s="10">
        <v>50000</v>
      </c>
      <c r="H25" s="10">
        <v>100000</v>
      </c>
      <c r="I25" s="10">
        <v>50000</v>
      </c>
      <c r="J25" s="3"/>
    </row>
    <row r="26" spans="1:10" ht="18.75" customHeight="1">
      <c r="B26" s="41" t="s">
        <v>19</v>
      </c>
      <c r="C26" s="55"/>
      <c r="D26" s="56"/>
      <c r="E26" s="10">
        <v>-10000</v>
      </c>
      <c r="F26" s="10">
        <v>-12000</v>
      </c>
      <c r="G26" s="10">
        <v>-10000</v>
      </c>
      <c r="H26" s="10">
        <v>-12000</v>
      </c>
      <c r="I26" s="10">
        <v>-12000</v>
      </c>
      <c r="J26" s="3"/>
    </row>
    <row r="27" spans="1:10" ht="16.5" customHeight="1">
      <c r="A27" s="8"/>
      <c r="B27" s="57" t="s">
        <v>20</v>
      </c>
      <c r="C27" s="53"/>
      <c r="D27" s="53"/>
      <c r="E27" s="60">
        <f t="shared" ref="E27:I27" si="2">SUM(E24:E26)</f>
        <v>340000</v>
      </c>
      <c r="F27" s="60">
        <f t="shared" si="2"/>
        <v>288000</v>
      </c>
      <c r="G27" s="60">
        <f t="shared" si="2"/>
        <v>240000</v>
      </c>
      <c r="H27" s="60">
        <f t="shared" si="2"/>
        <v>438000</v>
      </c>
      <c r="I27" s="60">
        <f t="shared" si="2"/>
        <v>488000</v>
      </c>
      <c r="J27" s="9"/>
    </row>
    <row r="28" spans="1:10" ht="15.75" customHeight="1">
      <c r="B28" s="9"/>
      <c r="C28" s="9"/>
      <c r="D28" s="9"/>
      <c r="E28" s="12"/>
      <c r="F28" s="12"/>
      <c r="G28" s="12"/>
      <c r="H28" s="12"/>
      <c r="I28" s="12"/>
      <c r="J28" s="3"/>
    </row>
    <row r="29" spans="1:10" ht="22.5" customHeight="1">
      <c r="A29" s="8"/>
      <c r="B29" s="61" t="s">
        <v>21</v>
      </c>
      <c r="C29" s="53"/>
      <c r="D29" s="53"/>
      <c r="E29" s="62">
        <f t="shared" ref="E29:I29" si="3">E12+E21+E27</f>
        <v>7650000</v>
      </c>
      <c r="F29" s="62">
        <f t="shared" si="3"/>
        <v>6763000</v>
      </c>
      <c r="G29" s="62">
        <f t="shared" si="3"/>
        <v>8000000</v>
      </c>
      <c r="H29" s="62">
        <f t="shared" si="3"/>
        <v>8013000</v>
      </c>
      <c r="I29" s="62">
        <f t="shared" si="3"/>
        <v>8063000</v>
      </c>
      <c r="J29" s="13"/>
    </row>
    <row r="30" spans="1:10" ht="27" customHeight="1">
      <c r="B30" s="9"/>
      <c r="C30" s="9"/>
      <c r="D30" s="9"/>
      <c r="E30" s="11"/>
      <c r="F30" s="11"/>
      <c r="G30" s="11"/>
      <c r="H30" s="11"/>
      <c r="I30" s="11"/>
      <c r="J30" s="3"/>
    </row>
    <row r="31" spans="1:10" ht="21.75" customHeight="1">
      <c r="B31" s="42" t="s">
        <v>22</v>
      </c>
      <c r="C31" s="49"/>
      <c r="D31" s="49"/>
      <c r="E31" s="63">
        <v>2019</v>
      </c>
      <c r="F31" s="63">
        <v>2020</v>
      </c>
      <c r="G31" s="63">
        <v>2021</v>
      </c>
      <c r="H31" s="63">
        <v>2022</v>
      </c>
      <c r="I31" s="63">
        <v>2023</v>
      </c>
      <c r="J31" s="3"/>
    </row>
    <row r="32" spans="1:10" ht="20.25" customHeight="1">
      <c r="B32" s="49"/>
      <c r="C32" s="49"/>
      <c r="D32" s="49"/>
      <c r="E32" s="53"/>
      <c r="F32" s="53"/>
      <c r="G32" s="53"/>
      <c r="H32" s="53"/>
      <c r="I32" s="53"/>
      <c r="J32" s="3"/>
    </row>
    <row r="33" spans="2:10" ht="27.75" customHeight="1">
      <c r="B33" s="52" t="s">
        <v>23</v>
      </c>
      <c r="C33" s="53"/>
      <c r="D33" s="53"/>
      <c r="E33" s="64"/>
      <c r="F33" s="64"/>
      <c r="G33" s="64"/>
      <c r="H33" s="64"/>
      <c r="I33" s="64"/>
      <c r="J33" s="3"/>
    </row>
    <row r="34" spans="2:10" ht="18.75" customHeight="1">
      <c r="B34" s="40" t="s">
        <v>24</v>
      </c>
      <c r="C34" s="55"/>
      <c r="D34" s="56"/>
      <c r="E34" s="10">
        <v>500000</v>
      </c>
      <c r="F34" s="10">
        <v>600000</v>
      </c>
      <c r="G34" s="10">
        <v>500000</v>
      </c>
      <c r="H34" s="10">
        <v>600000</v>
      </c>
      <c r="I34" s="10">
        <v>600000</v>
      </c>
      <c r="J34" s="3"/>
    </row>
    <row r="35" spans="2:10" ht="18.75" customHeight="1">
      <c r="B35" s="40" t="s">
        <v>25</v>
      </c>
      <c r="C35" s="55"/>
      <c r="D35" s="56"/>
      <c r="E35" s="10">
        <v>250000</v>
      </c>
      <c r="F35" s="10">
        <v>275000</v>
      </c>
      <c r="G35" s="10">
        <v>250000</v>
      </c>
      <c r="H35" s="10">
        <v>275000</v>
      </c>
      <c r="I35" s="10">
        <v>275000</v>
      </c>
      <c r="J35" s="3"/>
    </row>
    <row r="36" spans="2:10" ht="18.75" customHeight="1">
      <c r="B36" s="40" t="s">
        <v>26</v>
      </c>
      <c r="C36" s="55"/>
      <c r="D36" s="56"/>
      <c r="E36" s="10">
        <v>150000</v>
      </c>
      <c r="F36" s="10">
        <v>100000</v>
      </c>
      <c r="G36" s="10">
        <v>150000</v>
      </c>
      <c r="H36" s="10">
        <v>100000</v>
      </c>
      <c r="I36" s="10">
        <v>100000</v>
      </c>
      <c r="J36" s="3"/>
    </row>
    <row r="37" spans="2:10" ht="18.75" customHeight="1">
      <c r="B37" s="57" t="s">
        <v>27</v>
      </c>
      <c r="C37" s="53"/>
      <c r="D37" s="53"/>
      <c r="E37" s="65">
        <f t="shared" ref="E37:I37" si="4">SUM(E34:E36)</f>
        <v>900000</v>
      </c>
      <c r="F37" s="65">
        <f t="shared" si="4"/>
        <v>975000</v>
      </c>
      <c r="G37" s="65">
        <f t="shared" si="4"/>
        <v>900000</v>
      </c>
      <c r="H37" s="65">
        <f t="shared" si="4"/>
        <v>975000</v>
      </c>
      <c r="I37" s="65">
        <f t="shared" si="4"/>
        <v>975000</v>
      </c>
      <c r="J37" s="3"/>
    </row>
    <row r="38" spans="2:10" ht="15.75" customHeight="1">
      <c r="B38" s="9"/>
      <c r="C38" s="9"/>
      <c r="D38" s="9"/>
      <c r="E38" s="12"/>
      <c r="F38" s="12"/>
      <c r="G38" s="12"/>
      <c r="H38" s="12"/>
      <c r="I38" s="12"/>
      <c r="J38" s="3"/>
    </row>
    <row r="39" spans="2:10" ht="27.75" customHeight="1">
      <c r="B39" s="52" t="s">
        <v>28</v>
      </c>
      <c r="C39" s="53"/>
      <c r="D39" s="53"/>
      <c r="E39" s="64"/>
      <c r="F39" s="64"/>
      <c r="G39" s="64"/>
      <c r="H39" s="64"/>
      <c r="I39" s="64"/>
      <c r="J39" s="3"/>
    </row>
    <row r="40" spans="2:10" ht="18.75" customHeight="1">
      <c r="B40" s="40" t="s">
        <v>29</v>
      </c>
      <c r="C40" s="55"/>
      <c r="D40" s="56"/>
      <c r="E40" s="10">
        <v>3000000</v>
      </c>
      <c r="F40" s="10">
        <v>2250000</v>
      </c>
      <c r="G40" s="10">
        <v>3000000</v>
      </c>
      <c r="H40" s="10">
        <v>3100000</v>
      </c>
      <c r="I40" s="10">
        <v>3200000</v>
      </c>
      <c r="J40" s="3"/>
    </row>
    <row r="41" spans="2:10" ht="18.75" customHeight="1">
      <c r="B41" s="40" t="s">
        <v>30</v>
      </c>
      <c r="C41" s="55"/>
      <c r="D41" s="56"/>
      <c r="E41" s="10">
        <v>300000</v>
      </c>
      <c r="F41" s="10">
        <v>250000</v>
      </c>
      <c r="G41" s="10">
        <v>300000</v>
      </c>
      <c r="H41" s="10">
        <v>250000</v>
      </c>
      <c r="I41" s="10">
        <v>250000</v>
      </c>
      <c r="J41" s="3"/>
    </row>
    <row r="42" spans="2:10" ht="18.75" customHeight="1">
      <c r="B42" s="66" t="s">
        <v>31</v>
      </c>
      <c r="C42" s="53"/>
      <c r="D42" s="53"/>
      <c r="E42" s="67">
        <f t="shared" ref="E42:I42" si="5">SUM(E40:E41)</f>
        <v>3300000</v>
      </c>
      <c r="F42" s="67">
        <f t="shared" si="5"/>
        <v>2500000</v>
      </c>
      <c r="G42" s="67">
        <f t="shared" si="5"/>
        <v>3300000</v>
      </c>
      <c r="H42" s="67">
        <f t="shared" si="5"/>
        <v>3350000</v>
      </c>
      <c r="I42" s="67">
        <f t="shared" si="5"/>
        <v>3450000</v>
      </c>
      <c r="J42" s="3"/>
    </row>
    <row r="43" spans="2:10" ht="18.75" customHeight="1">
      <c r="B43" s="9"/>
      <c r="C43" s="9"/>
      <c r="D43" s="9"/>
      <c r="E43" s="12"/>
      <c r="F43" s="12"/>
      <c r="G43" s="12"/>
      <c r="H43" s="12"/>
      <c r="I43" s="12"/>
      <c r="J43" s="3"/>
    </row>
    <row r="44" spans="2:10" ht="27.75" customHeight="1">
      <c r="B44" s="52" t="s">
        <v>32</v>
      </c>
      <c r="C44" s="53"/>
      <c r="D44" s="53"/>
      <c r="E44" s="64"/>
      <c r="F44" s="64"/>
      <c r="G44" s="64"/>
      <c r="H44" s="64"/>
      <c r="I44" s="64"/>
      <c r="J44" s="3"/>
    </row>
    <row r="45" spans="2:10" ht="18.75" customHeight="1">
      <c r="B45" s="40" t="s">
        <v>33</v>
      </c>
      <c r="C45" s="55"/>
      <c r="D45" s="56"/>
      <c r="E45" s="10">
        <v>900000</v>
      </c>
      <c r="F45" s="10">
        <v>900000</v>
      </c>
      <c r="G45" s="10">
        <v>1000000</v>
      </c>
      <c r="H45" s="10">
        <v>500000</v>
      </c>
      <c r="I45" s="10">
        <v>400000</v>
      </c>
      <c r="J45" s="3"/>
    </row>
    <row r="46" spans="2:10" ht="18.75" customHeight="1">
      <c r="B46" s="40" t="s">
        <v>34</v>
      </c>
      <c r="C46" s="55"/>
      <c r="D46" s="56"/>
      <c r="E46" s="10">
        <v>100000</v>
      </c>
      <c r="F46" s="10">
        <v>100000</v>
      </c>
      <c r="G46" s="10">
        <v>250000</v>
      </c>
      <c r="H46" s="10">
        <v>100000</v>
      </c>
      <c r="I46" s="10">
        <v>250000</v>
      </c>
      <c r="J46" s="3"/>
    </row>
    <row r="47" spans="2:10" ht="18.75" customHeight="1">
      <c r="B47" s="40" t="s">
        <v>35</v>
      </c>
      <c r="C47" s="55"/>
      <c r="D47" s="56"/>
      <c r="E47" s="10">
        <v>750000</v>
      </c>
      <c r="F47" s="10">
        <v>750000</v>
      </c>
      <c r="G47" s="10">
        <v>750000</v>
      </c>
      <c r="H47" s="10">
        <v>750000</v>
      </c>
      <c r="I47" s="10">
        <v>750000</v>
      </c>
      <c r="J47" s="3"/>
    </row>
    <row r="48" spans="2:10" ht="18.75" customHeight="1">
      <c r="B48" s="40" t="s">
        <v>36</v>
      </c>
      <c r="C48" s="55"/>
      <c r="D48" s="56"/>
      <c r="E48" s="10">
        <v>1500000</v>
      </c>
      <c r="F48" s="10">
        <v>2438000</v>
      </c>
      <c r="G48" s="10">
        <v>1900000</v>
      </c>
      <c r="H48" s="10">
        <v>2438000</v>
      </c>
      <c r="I48" s="10">
        <v>2438000</v>
      </c>
      <c r="J48" s="3"/>
    </row>
    <row r="49" spans="2:10" ht="18.75" customHeight="1">
      <c r="B49" s="57" t="s">
        <v>37</v>
      </c>
      <c r="C49" s="53"/>
      <c r="D49" s="53"/>
      <c r="E49" s="65">
        <f t="shared" ref="E49:I49" si="6">SUM(E45:E48)</f>
        <v>3250000</v>
      </c>
      <c r="F49" s="65">
        <f t="shared" si="6"/>
        <v>4188000</v>
      </c>
      <c r="G49" s="65">
        <f t="shared" si="6"/>
        <v>3900000</v>
      </c>
      <c r="H49" s="65">
        <f t="shared" si="6"/>
        <v>3788000</v>
      </c>
      <c r="I49" s="65">
        <f t="shared" si="6"/>
        <v>3838000</v>
      </c>
      <c r="J49" s="3"/>
    </row>
    <row r="50" spans="2:10" ht="12.75" customHeight="1">
      <c r="B50" s="9"/>
      <c r="C50" s="9"/>
      <c r="D50" s="9"/>
      <c r="E50" s="12"/>
      <c r="F50" s="12"/>
      <c r="G50" s="12"/>
      <c r="H50" s="12"/>
      <c r="I50" s="12"/>
      <c r="J50" s="3"/>
    </row>
    <row r="51" spans="2:10" ht="30.75" customHeight="1">
      <c r="B51" s="61" t="s">
        <v>38</v>
      </c>
      <c r="C51" s="53"/>
      <c r="D51" s="53"/>
      <c r="E51" s="62">
        <f t="shared" ref="E51:I51" si="7">E37+E42+E49</f>
        <v>7450000</v>
      </c>
      <c r="F51" s="62">
        <f t="shared" si="7"/>
        <v>7663000</v>
      </c>
      <c r="G51" s="62">
        <f t="shared" si="7"/>
        <v>8100000</v>
      </c>
      <c r="H51" s="62">
        <f t="shared" si="7"/>
        <v>8113000</v>
      </c>
      <c r="I51" s="62">
        <f t="shared" si="7"/>
        <v>8263000</v>
      </c>
      <c r="J51" s="14"/>
    </row>
    <row r="52" spans="2:10" ht="30" customHeight="1">
      <c r="B52" s="15" t="s">
        <v>39</v>
      </c>
      <c r="C52" s="9"/>
      <c r="D52" s="9"/>
      <c r="E52" s="9"/>
      <c r="F52" s="9"/>
      <c r="G52" s="9"/>
      <c r="H52" s="9"/>
      <c r="I52" s="9"/>
      <c r="J52" s="3"/>
    </row>
  </sheetData>
  <mergeCells count="46">
    <mergeCell ref="D2:I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H31:H32"/>
    <mergeCell ref="I31:I32"/>
    <mergeCell ref="B26:D26"/>
    <mergeCell ref="B27:D27"/>
    <mergeCell ref="B29:D29"/>
    <mergeCell ref="B31:D32"/>
    <mergeCell ref="E31:E32"/>
    <mergeCell ref="F31:F32"/>
    <mergeCell ref="G31:G32"/>
    <mergeCell ref="B33:D33"/>
    <mergeCell ref="B34:D34"/>
    <mergeCell ref="B35:D35"/>
    <mergeCell ref="B36:D36"/>
    <mergeCell ref="B37:D37"/>
    <mergeCell ref="B39:D39"/>
    <mergeCell ref="B40:D40"/>
    <mergeCell ref="B49:D49"/>
    <mergeCell ref="B51:D51"/>
    <mergeCell ref="B41:D41"/>
    <mergeCell ref="B42:D42"/>
    <mergeCell ref="B44:D44"/>
    <mergeCell ref="B45:D45"/>
    <mergeCell ref="B46:D46"/>
    <mergeCell ref="B47:D47"/>
    <mergeCell ref="B48:D48"/>
  </mergeCells>
  <pageMargins left="0.7" right="0.7" top="0.75" bottom="0.75" header="0" footer="0"/>
  <pageSetup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6"/>
  <sheetViews>
    <sheetView showGridLines="0" tabSelected="1" zoomScale="54" zoomScaleNormal="54" workbookViewId="0">
      <selection activeCell="N15" sqref="N15"/>
    </sheetView>
  </sheetViews>
  <sheetFormatPr defaultColWidth="12.5703125" defaultRowHeight="15" customHeight="1"/>
  <cols>
    <col min="1" max="1" width="2.85546875" customWidth="1"/>
    <col min="2" max="2" width="40.140625" customWidth="1"/>
    <col min="3" max="3" width="38.42578125" customWidth="1"/>
    <col min="4" max="4" width="27.85546875" customWidth="1"/>
    <col min="5" max="7" width="12.5703125" customWidth="1"/>
    <col min="8" max="8" width="23.85546875" customWidth="1"/>
    <col min="9" max="10" width="12.5703125" customWidth="1"/>
    <col min="11" max="11" width="22.42578125" customWidth="1"/>
    <col min="12" max="12" width="3.5703125" customWidth="1"/>
  </cols>
  <sheetData>
    <row r="1" spans="1:12" ht="16.5" customHeight="1">
      <c r="A1" s="16"/>
      <c r="B1" s="16"/>
      <c r="C1" s="16"/>
      <c r="D1" s="16"/>
      <c r="E1" s="17"/>
      <c r="F1" s="18"/>
      <c r="G1" s="18"/>
      <c r="H1" s="18"/>
      <c r="I1" s="18"/>
      <c r="J1" s="18"/>
      <c r="K1" s="18"/>
      <c r="L1" s="16"/>
    </row>
    <row r="2" spans="1:12" ht="19.5" customHeight="1">
      <c r="A2" s="16"/>
      <c r="B2" s="16"/>
      <c r="C2" s="19" t="s">
        <v>40</v>
      </c>
      <c r="D2" s="68" t="s">
        <v>41</v>
      </c>
      <c r="E2" s="53"/>
      <c r="F2" s="53"/>
      <c r="G2" s="53"/>
      <c r="H2" s="53"/>
      <c r="I2" s="53"/>
      <c r="J2" s="53"/>
      <c r="K2" s="53"/>
      <c r="L2" s="16"/>
    </row>
    <row r="3" spans="1:12" ht="15.75" customHeight="1">
      <c r="A3" s="16"/>
      <c r="B3" s="16"/>
      <c r="C3" s="19" t="s">
        <v>42</v>
      </c>
      <c r="D3" s="53"/>
      <c r="E3" s="49"/>
      <c r="F3" s="49"/>
      <c r="G3" s="49"/>
      <c r="H3" s="49"/>
      <c r="I3" s="49"/>
      <c r="J3" s="49"/>
      <c r="K3" s="53"/>
      <c r="L3" s="16"/>
    </row>
    <row r="4" spans="1:12" ht="15.75" customHeight="1">
      <c r="A4" s="16"/>
      <c r="B4" s="16"/>
      <c r="C4" s="20" t="s">
        <v>43</v>
      </c>
      <c r="D4" s="53"/>
      <c r="E4" s="49"/>
      <c r="F4" s="49"/>
      <c r="G4" s="49"/>
      <c r="H4" s="49"/>
      <c r="I4" s="49"/>
      <c r="J4" s="49"/>
      <c r="K4" s="53"/>
      <c r="L4" s="16"/>
    </row>
    <row r="5" spans="1:12" ht="15.75" customHeight="1">
      <c r="A5" s="16"/>
      <c r="B5" s="16"/>
      <c r="C5" s="19" t="s">
        <v>44</v>
      </c>
      <c r="D5" s="53"/>
      <c r="E5" s="53"/>
      <c r="F5" s="53"/>
      <c r="G5" s="53"/>
      <c r="H5" s="53"/>
      <c r="I5" s="53"/>
      <c r="J5" s="53"/>
      <c r="K5" s="53"/>
      <c r="L5" s="16"/>
    </row>
    <row r="6" spans="1:12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37.5" customHeight="1">
      <c r="A7" s="16"/>
      <c r="B7" s="21" t="s">
        <v>21</v>
      </c>
      <c r="C7" s="16"/>
      <c r="D7" s="17"/>
      <c r="E7" s="16"/>
      <c r="F7" s="16"/>
      <c r="G7" s="16"/>
      <c r="H7" s="16"/>
      <c r="I7" s="16"/>
      <c r="J7" s="16"/>
      <c r="K7" s="16"/>
      <c r="L7" s="16"/>
    </row>
    <row r="8" spans="1:12" ht="28.5" customHeight="1">
      <c r="A8" s="16"/>
      <c r="B8" s="69">
        <f t="array" ref="B8:B9">'Chart Support'!N3:N4</f>
        <v>2019</v>
      </c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28.5" customHeight="1">
      <c r="A9" s="16"/>
      <c r="B9" s="22">
        <v>7650000</v>
      </c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28.5" customHeight="1">
      <c r="A10" s="23"/>
      <c r="B10" s="24">
        <f t="array" ref="B10:B11">'Chart Support'!O3:O4</f>
        <v>2020</v>
      </c>
      <c r="C10" s="25"/>
      <c r="D10" s="25"/>
      <c r="E10" s="23"/>
      <c r="F10" s="23"/>
      <c r="G10" s="23"/>
      <c r="H10" s="23"/>
      <c r="I10" s="23"/>
      <c r="J10" s="23"/>
      <c r="K10" s="23"/>
      <c r="L10" s="23"/>
    </row>
    <row r="11" spans="1:12" ht="28.5" customHeight="1">
      <c r="A11" s="26"/>
      <c r="B11" s="22">
        <v>6763000</v>
      </c>
      <c r="C11" s="27"/>
      <c r="D11" s="27"/>
      <c r="E11" s="26"/>
      <c r="F11" s="26"/>
      <c r="G11" s="26"/>
      <c r="H11" s="26"/>
      <c r="I11" s="26"/>
      <c r="J11" s="26"/>
      <c r="K11" s="26"/>
      <c r="L11" s="26"/>
    </row>
    <row r="12" spans="1:12" ht="28.5" customHeight="1">
      <c r="A12" s="26"/>
      <c r="B12" s="28">
        <f t="array" ref="B12:B13">'Chart Support'!P3:P4</f>
        <v>2021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12" ht="28.5" customHeight="1">
      <c r="A13" s="26"/>
      <c r="B13" s="22">
        <v>8000000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12" ht="28.5" customHeight="1">
      <c r="A14" s="23"/>
      <c r="B14" s="24">
        <f t="array" ref="B14:B15">'Chart Support'!Q3:Q4</f>
        <v>2022</v>
      </c>
      <c r="C14" s="25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28.5" customHeight="1">
      <c r="A15" s="26"/>
      <c r="B15" s="29">
        <v>8013000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2" ht="28.5" customHeight="1">
      <c r="A16" s="26"/>
      <c r="B16" s="28">
        <f t="array" ref="B16:B17">'Chart Support'!R3:R4</f>
        <v>2023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1:12" ht="28.5" customHeight="1">
      <c r="A17" s="26"/>
      <c r="B17" s="30">
        <v>8063000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1:12" ht="15.75" customHeight="1">
      <c r="A18" s="23"/>
      <c r="B18" s="31"/>
      <c r="C18" s="25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21" customHeight="1">
      <c r="A19" s="16"/>
      <c r="B19" s="32"/>
      <c r="C19" s="33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21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21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21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21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21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21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21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38.450000000000003" customHeight="1">
      <c r="A29" s="16"/>
      <c r="B29" s="21" t="s">
        <v>45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29.25" customHeight="1">
      <c r="A30" s="16"/>
      <c r="B30" s="69">
        <f t="array" ref="B30:B31">'Chart Support'!N13:N14</f>
        <v>2019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29.25" customHeight="1">
      <c r="A31" s="16"/>
      <c r="B31" s="22">
        <v>7450000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ht="29.25" customHeight="1">
      <c r="A32" s="16"/>
      <c r="B32" s="24">
        <f t="array" ref="B32:B33">'Chart Support'!O13:O14</f>
        <v>2020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ht="29.25" customHeight="1">
      <c r="A33" s="17"/>
      <c r="B33" s="22">
        <v>7663000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29.25" customHeight="1">
      <c r="A34" s="17"/>
      <c r="B34" s="28">
        <f t="array" ref="B34:B35">'Chart Support'!P13:P14</f>
        <v>2021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29.25" customHeight="1">
      <c r="A35" s="17"/>
      <c r="B35" s="22">
        <v>8100000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29.25" customHeight="1">
      <c r="A36" s="17"/>
      <c r="B36" s="24">
        <f t="array" ref="B36:B37">'Chart Support'!Q13:Q14</f>
        <v>2022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29.25" customHeight="1">
      <c r="A37" s="17"/>
      <c r="B37" s="29">
        <v>8113000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29.25" customHeight="1">
      <c r="A38" s="17"/>
      <c r="B38" s="28">
        <f t="array" ref="B38:B39">'Chart Support'!R13:R14</f>
        <v>2023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ht="29.25" customHeight="1">
      <c r="A39" s="17"/>
      <c r="B39" s="30">
        <v>8263000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1:12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1:12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</sheetData>
  <mergeCells count="1">
    <mergeCell ref="D2:K5"/>
  </mergeCells>
  <hyperlinks>
    <hyperlink ref="C4" r:id="rId1" xr:uid="{00000000-0004-0000-0100-000000000000}"/>
  </hyperlinks>
  <pageMargins left="0.7" right="0.7" top="0.75" bottom="0.75" header="0" footer="0"/>
  <pageSetup scale="41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5703125" defaultRowHeight="15" customHeight="1"/>
  <cols>
    <col min="1" max="1" width="8.42578125" customWidth="1"/>
    <col min="2" max="8" width="14.42578125" customWidth="1"/>
    <col min="9" max="9" width="7.85546875" customWidth="1"/>
  </cols>
  <sheetData>
    <row r="1" spans="1:26" ht="12.6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6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6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6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6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6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34"/>
      <c r="B22" s="70" t="s">
        <v>46</v>
      </c>
      <c r="C22" s="49"/>
      <c r="D22" s="49"/>
      <c r="E22" s="49"/>
      <c r="F22" s="49"/>
      <c r="G22" s="49"/>
      <c r="H22" s="49"/>
      <c r="I22" s="35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34"/>
      <c r="B23" s="35"/>
      <c r="C23" s="35"/>
      <c r="D23" s="35"/>
      <c r="E23" s="35"/>
      <c r="F23" s="35"/>
      <c r="G23" s="35"/>
      <c r="H23" s="35"/>
      <c r="I23" s="35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34"/>
      <c r="B24" s="70" t="s">
        <v>47</v>
      </c>
      <c r="C24" s="49"/>
      <c r="D24" s="49"/>
      <c r="E24" s="49"/>
      <c r="F24" s="49"/>
      <c r="G24" s="49"/>
      <c r="H24" s="49"/>
      <c r="I24" s="35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34"/>
      <c r="B25" s="70" t="s">
        <v>48</v>
      </c>
      <c r="C25" s="49"/>
      <c r="D25" s="49"/>
      <c r="E25" s="49"/>
      <c r="F25" s="49"/>
      <c r="G25" s="49"/>
      <c r="H25" s="35"/>
      <c r="I25" s="35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34"/>
      <c r="B26" s="71" t="s">
        <v>49</v>
      </c>
      <c r="C26" s="49"/>
      <c r="D26" s="49"/>
      <c r="E26" s="49"/>
      <c r="F26" s="49"/>
      <c r="G26" s="49"/>
      <c r="H26" s="49"/>
      <c r="I26" s="49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34"/>
      <c r="B27" s="70" t="s">
        <v>50</v>
      </c>
      <c r="C27" s="49"/>
      <c r="D27" s="49"/>
      <c r="E27" s="49"/>
      <c r="F27" s="49"/>
      <c r="G27" s="35"/>
      <c r="H27" s="35"/>
      <c r="I27" s="35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34"/>
      <c r="B28" s="35"/>
      <c r="C28" s="35"/>
      <c r="D28" s="35"/>
      <c r="E28" s="35"/>
      <c r="F28" s="35"/>
      <c r="G28" s="35"/>
      <c r="H28" s="35"/>
      <c r="I28" s="35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34"/>
      <c r="B29" s="70" t="s">
        <v>51</v>
      </c>
      <c r="C29" s="49"/>
      <c r="D29" s="49"/>
      <c r="E29" s="49"/>
      <c r="F29" s="49"/>
      <c r="G29" s="49"/>
      <c r="H29" s="49"/>
      <c r="I29" s="49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6">
    <mergeCell ref="B29:I29"/>
    <mergeCell ref="B22:H22"/>
    <mergeCell ref="B24:H24"/>
    <mergeCell ref="B25:G25"/>
    <mergeCell ref="B26:I26"/>
    <mergeCell ref="B27:F2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1000"/>
  <sheetViews>
    <sheetView workbookViewId="0"/>
  </sheetViews>
  <sheetFormatPr defaultColWidth="12.5703125" defaultRowHeight="15" customHeight="1"/>
  <cols>
    <col min="1" max="1" width="8.5703125" customWidth="1"/>
    <col min="2" max="2" width="33.42578125" customWidth="1"/>
    <col min="3" max="3" width="8.5703125" hidden="1" customWidth="1"/>
    <col min="4" max="4" width="3.7109375" hidden="1" customWidth="1"/>
    <col min="5" max="9" width="14.42578125" customWidth="1"/>
    <col min="10" max="10" width="3.140625" customWidth="1"/>
    <col min="11" max="11" width="16.85546875" customWidth="1"/>
    <col min="12" max="13" width="5.42578125" hidden="1" customWidth="1"/>
    <col min="14" max="18" width="13.85546875" customWidth="1"/>
    <col min="19" max="26" width="8.5703125" customWidth="1"/>
  </cols>
  <sheetData>
    <row r="1" spans="2:18" ht="12" customHeight="1"/>
    <row r="2" spans="2:18" ht="12" customHeight="1"/>
    <row r="3" spans="2:18" ht="12" customHeight="1">
      <c r="B3" s="36" t="s">
        <v>2</v>
      </c>
      <c r="N3" s="4">
        <v>2019</v>
      </c>
      <c r="O3" s="4">
        <v>2020</v>
      </c>
      <c r="P3" s="4">
        <v>2021</v>
      </c>
      <c r="Q3" s="4">
        <v>2022</v>
      </c>
      <c r="R3" s="4">
        <v>2023</v>
      </c>
    </row>
    <row r="4" spans="2:18" ht="12" customHeight="1">
      <c r="E4" s="4">
        <v>2019</v>
      </c>
      <c r="F4" s="4">
        <v>2020</v>
      </c>
      <c r="G4" s="4">
        <v>2021</v>
      </c>
      <c r="H4" s="4">
        <v>2022</v>
      </c>
      <c r="I4" s="4">
        <v>2023</v>
      </c>
      <c r="K4" s="37" t="str">
        <f t="array" ref="K4:R4">'Balance Sheet Projection'!B29:I29</f>
        <v>TOTAL ASSETS</v>
      </c>
      <c r="L4" s="37">
        <v>0</v>
      </c>
      <c r="M4" s="37">
        <v>0</v>
      </c>
      <c r="N4" s="38">
        <v>7650000</v>
      </c>
      <c r="O4" s="38">
        <v>6763000</v>
      </c>
      <c r="P4" s="38">
        <v>8000000</v>
      </c>
      <c r="Q4" s="38">
        <v>8013000</v>
      </c>
      <c r="R4" s="38">
        <v>8063000</v>
      </c>
    </row>
    <row r="5" spans="2:18" ht="12" customHeight="1">
      <c r="B5" s="37" t="str">
        <f t="array" ref="B5:I5">'Balance Sheet Projection'!B12:I12</f>
        <v>TOTAL CURRENT ASSETS</v>
      </c>
      <c r="C5" s="37">
        <v>0</v>
      </c>
      <c r="D5" s="37">
        <v>0</v>
      </c>
      <c r="E5" s="38">
        <v>2280000</v>
      </c>
      <c r="F5" s="38">
        <v>2325000</v>
      </c>
      <c r="G5" s="38">
        <v>2230000</v>
      </c>
      <c r="H5" s="38">
        <v>2325000</v>
      </c>
      <c r="I5" s="38">
        <v>2425000</v>
      </c>
      <c r="N5" s="38"/>
      <c r="O5" s="38"/>
      <c r="P5" s="38"/>
      <c r="Q5" s="38"/>
      <c r="R5" s="38"/>
    </row>
    <row r="6" spans="2:18" ht="12" customHeight="1">
      <c r="E6" s="38"/>
      <c r="F6" s="38"/>
      <c r="G6" s="38"/>
      <c r="H6" s="38"/>
      <c r="I6" s="38"/>
      <c r="N6" s="38"/>
      <c r="O6" s="38"/>
      <c r="P6" s="38"/>
      <c r="Q6" s="38"/>
      <c r="R6" s="38"/>
    </row>
    <row r="7" spans="2:18" ht="12" customHeight="1">
      <c r="E7" s="4">
        <v>2019</v>
      </c>
      <c r="F7" s="4">
        <v>2020</v>
      </c>
      <c r="G7" s="4">
        <v>2021</v>
      </c>
      <c r="H7" s="4">
        <v>2022</v>
      </c>
      <c r="I7" s="4">
        <v>2023</v>
      </c>
      <c r="N7" s="38"/>
      <c r="O7" s="38"/>
      <c r="P7" s="38"/>
      <c r="Q7" s="38"/>
      <c r="R7" s="38"/>
    </row>
    <row r="8" spans="2:18" ht="12" customHeight="1">
      <c r="B8" s="37" t="str">
        <f t="array" ref="B8:I8">'Balance Sheet Projection'!B21:I21</f>
        <v>TOTAL PPE</v>
      </c>
      <c r="C8" s="37">
        <v>0</v>
      </c>
      <c r="D8" s="37">
        <v>0</v>
      </c>
      <c r="E8" s="38">
        <v>5030000</v>
      </c>
      <c r="F8" s="38">
        <v>4150000</v>
      </c>
      <c r="G8" s="38">
        <v>5530000</v>
      </c>
      <c r="H8" s="38">
        <v>5250000</v>
      </c>
      <c r="I8" s="38">
        <v>5150000</v>
      </c>
    </row>
    <row r="9" spans="2:18" ht="12" customHeight="1">
      <c r="E9" s="38"/>
      <c r="F9" s="38"/>
      <c r="G9" s="38"/>
      <c r="H9" s="38"/>
      <c r="I9" s="38"/>
    </row>
    <row r="10" spans="2:18" ht="12" customHeight="1">
      <c r="E10" s="4">
        <v>2019</v>
      </c>
      <c r="F10" s="4">
        <v>2020</v>
      </c>
      <c r="G10" s="4">
        <v>2021</v>
      </c>
      <c r="H10" s="4">
        <v>2022</v>
      </c>
      <c r="I10" s="4">
        <v>2023</v>
      </c>
    </row>
    <row r="11" spans="2:18" ht="12" customHeight="1">
      <c r="B11" s="37" t="str">
        <f t="array" ref="B11:I11">'Balance Sheet Projection'!B27:I27</f>
        <v>TOTAL OTHER LONG TERM ASSETS</v>
      </c>
      <c r="C11" s="37">
        <v>0</v>
      </c>
      <c r="D11" s="37">
        <v>0</v>
      </c>
      <c r="E11" s="38">
        <v>340000</v>
      </c>
      <c r="F11" s="38">
        <v>288000</v>
      </c>
      <c r="G11" s="38">
        <v>240000</v>
      </c>
      <c r="H11" s="38">
        <v>438000</v>
      </c>
      <c r="I11" s="38">
        <v>488000</v>
      </c>
    </row>
    <row r="12" spans="2:18" ht="12" customHeight="1"/>
    <row r="13" spans="2:18" ht="12" customHeight="1">
      <c r="N13" s="4">
        <v>2019</v>
      </c>
      <c r="O13" s="4">
        <v>2020</v>
      </c>
      <c r="P13" s="4">
        <v>2021</v>
      </c>
      <c r="Q13" s="4">
        <v>2022</v>
      </c>
      <c r="R13" s="4">
        <v>2023</v>
      </c>
    </row>
    <row r="14" spans="2:18" ht="12" customHeight="1">
      <c r="B14" s="72"/>
      <c r="C14" s="53"/>
      <c r="D14" s="53"/>
      <c r="E14" s="4"/>
      <c r="F14" s="4"/>
      <c r="G14" s="4"/>
      <c r="H14" s="4"/>
      <c r="I14" s="4"/>
      <c r="K14" s="37" t="str">
        <f t="array" ref="K14:R14">'Balance Sheet Projection'!B51:I51</f>
        <v>TOTAL LIABILITIES AND SHAREHOLDER'S EQUITY</v>
      </c>
      <c r="L14" s="37">
        <v>0</v>
      </c>
      <c r="M14" s="37">
        <v>0</v>
      </c>
      <c r="N14" s="38">
        <v>7450000</v>
      </c>
      <c r="O14" s="38">
        <v>7663000</v>
      </c>
      <c r="P14" s="38">
        <v>8100000</v>
      </c>
      <c r="Q14" s="38">
        <v>8113000</v>
      </c>
      <c r="R14" s="38">
        <v>8263000</v>
      </c>
    </row>
    <row r="15" spans="2:18" ht="12" customHeight="1">
      <c r="E15" s="4">
        <v>2019</v>
      </c>
      <c r="F15" s="4">
        <v>2020</v>
      </c>
      <c r="G15" s="4">
        <v>2021</v>
      </c>
      <c r="H15" s="4">
        <v>2022</v>
      </c>
      <c r="I15" s="4">
        <v>2023</v>
      </c>
    </row>
    <row r="16" spans="2:18" ht="12" customHeight="1">
      <c r="B16" s="37" t="str">
        <f t="array" ref="B16:I16">'Balance Sheet Projection'!B37:I37</f>
        <v>TOTAL CURRENT LIABILITIES</v>
      </c>
      <c r="C16" s="37">
        <v>0</v>
      </c>
      <c r="D16" s="37">
        <v>0</v>
      </c>
      <c r="E16" s="38">
        <v>900000</v>
      </c>
      <c r="F16" s="38">
        <v>975000</v>
      </c>
      <c r="G16" s="38">
        <v>900000</v>
      </c>
      <c r="H16" s="38">
        <v>975000</v>
      </c>
      <c r="I16" s="38">
        <v>975000</v>
      </c>
    </row>
    <row r="17" spans="2:9" ht="12" customHeight="1">
      <c r="E17" s="38"/>
      <c r="F17" s="38"/>
      <c r="G17" s="38"/>
      <c r="H17" s="38"/>
      <c r="I17" s="38"/>
    </row>
    <row r="18" spans="2:9" ht="12" customHeight="1">
      <c r="E18" s="4">
        <v>2019</v>
      </c>
      <c r="F18" s="4">
        <v>2020</v>
      </c>
      <c r="G18" s="4">
        <v>2021</v>
      </c>
      <c r="H18" s="4">
        <v>2022</v>
      </c>
      <c r="I18" s="4">
        <v>2023</v>
      </c>
    </row>
    <row r="19" spans="2:9" ht="12" customHeight="1">
      <c r="B19" s="37" t="str">
        <f t="array" ref="B19:I19">'Balance Sheet Projection'!B42:I42</f>
        <v>TOTAL LONG-TERM LIABILITIES</v>
      </c>
      <c r="C19" s="37">
        <v>0</v>
      </c>
      <c r="D19" s="37">
        <v>0</v>
      </c>
      <c r="E19" s="38">
        <v>3300000</v>
      </c>
      <c r="F19" s="38">
        <v>2500000</v>
      </c>
      <c r="G19" s="38">
        <v>3300000</v>
      </c>
      <c r="H19" s="38">
        <v>3350000</v>
      </c>
      <c r="I19" s="38">
        <v>3450000</v>
      </c>
    </row>
    <row r="20" spans="2:9" ht="12" customHeight="1">
      <c r="E20" s="38"/>
      <c r="F20" s="38"/>
      <c r="G20" s="38"/>
      <c r="H20" s="38"/>
      <c r="I20" s="38"/>
    </row>
    <row r="21" spans="2:9" ht="12" customHeight="1">
      <c r="E21" s="4">
        <v>2019</v>
      </c>
      <c r="F21" s="4">
        <v>2020</v>
      </c>
      <c r="G21" s="4">
        <v>2021</v>
      </c>
      <c r="H21" s="4">
        <v>2022</v>
      </c>
      <c r="I21" s="4">
        <v>2023</v>
      </c>
    </row>
    <row r="22" spans="2:9" ht="12" customHeight="1">
      <c r="B22" s="39" t="str">
        <f t="array" ref="B22:I22">'Balance Sheet Projection'!B49:I49</f>
        <v>TOTAL SHAREHOLDER'S EQUITY</v>
      </c>
      <c r="C22" s="37">
        <v>0</v>
      </c>
      <c r="D22" s="37">
        <v>0</v>
      </c>
      <c r="E22" s="12">
        <v>3250000</v>
      </c>
      <c r="F22" s="12">
        <v>4188000</v>
      </c>
      <c r="G22" s="12">
        <v>3900000</v>
      </c>
      <c r="H22" s="12">
        <v>3788000</v>
      </c>
      <c r="I22" s="12">
        <v>3838000</v>
      </c>
    </row>
    <row r="23" spans="2:9" ht="12" customHeight="1">
      <c r="E23" s="38"/>
      <c r="F23" s="38"/>
      <c r="G23" s="38"/>
      <c r="H23" s="38"/>
      <c r="I23" s="38"/>
    </row>
    <row r="24" spans="2:9" ht="12" customHeight="1">
      <c r="E24" s="38"/>
      <c r="F24" s="38"/>
      <c r="G24" s="38"/>
      <c r="H24" s="38"/>
      <c r="I24" s="38"/>
    </row>
    <row r="25" spans="2:9" ht="12" customHeight="1">
      <c r="E25" s="38"/>
      <c r="F25" s="38"/>
      <c r="G25" s="38"/>
      <c r="H25" s="38"/>
      <c r="I25" s="38"/>
    </row>
    <row r="26" spans="2:9" ht="12" customHeight="1"/>
    <row r="27" spans="2:9" ht="12" customHeight="1"/>
    <row r="28" spans="2:9" ht="12" customHeight="1"/>
    <row r="29" spans="2:9" ht="12" customHeight="1"/>
    <row r="30" spans="2:9" ht="12" customHeight="1"/>
    <row r="31" spans="2:9" ht="12" customHeight="1"/>
    <row r="32" spans="2:9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B14:D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2026-02-15T17:16:30Z</dcterms:created>
  <dcterms:modified xsi:type="dcterms:W3CDTF">2026-02-15T17:16:30Z</dcterms:modified>
  <cp:category/>
  <cp:contentStatus/>
</cp:coreProperties>
</file>
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C:\Users\Dell Core i5 11thGen\Downloads\"/>
    </mc:Choice>
  </mc:AlternateContent>
  <xr:revisionPtr revIDLastSave="0" documentId="13_ncr:1_{622F370D-57C8-4AA9-82EF-F017AD3E8FFB}" xr6:coauthVersionLast="47" xr6:coauthVersionMax="47" xr10:uidLastSave="{00000000-0000-0000-0000-000000000000}"/>
  <bookViews>
    <workbookView xWindow="-120" yWindow="-120" windowWidth="29040" windowHeight="15840" firstSheet="3" activeTab="3" xr2:uid="{00000000-000D-0000-FFFF-FFFF00000000}"/>
  </bookViews>
  <sheets>
    <sheet name="Overview" sheetId="1" r:id="rId1"/>
    <sheet name="Residential Construction Budget" sheetId="2" r:id="rId2"/>
    <sheet name="Cost Breakdown Structure" sheetId="3" r:id="rId3"/>
    <sheet name="CashFlow Projection" sheetId="4" r:id="rId4"/>
    <sheet name="Instruction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 i="2" l="1" a="1"/>
  <c r="K14" i="2" s="1"/>
  <c r="J14" i="2" a="1"/>
  <c r="J14" i="2" s="1"/>
  <c r="N28" i="2"/>
  <c r="N22" i="2"/>
  <c r="N16" i="2"/>
  <c r="N11" i="2"/>
  <c r="C39" i="4"/>
  <c r="C38" i="4"/>
  <c r="C37" i="4"/>
  <c r="C36" i="4"/>
  <c r="C35" i="4"/>
  <c r="C34" i="4"/>
  <c r="C33" i="4"/>
  <c r="C32" i="4"/>
  <c r="C31" i="4"/>
  <c r="C30" i="4"/>
  <c r="C22" i="4"/>
  <c r="C21" i="4"/>
  <c r="C20" i="4"/>
  <c r="C19" i="4"/>
  <c r="C18" i="4"/>
  <c r="C14" i="4" a="1"/>
  <c r="L14" i="4" s="1"/>
  <c r="C13" i="4" a="1"/>
  <c r="G13" i="4" s="1"/>
  <c r="C12" i="4" a="1"/>
  <c r="K12" i="4" s="1"/>
  <c r="C11" i="4" a="1"/>
  <c r="L11" i="4" s="1"/>
  <c r="C9" i="4"/>
  <c r="D51" i="3"/>
  <c r="C51" i="3"/>
  <c r="D50" i="3"/>
  <c r="F45" i="2" s="1"/>
  <c r="C50" i="3"/>
  <c r="D49" i="3"/>
  <c r="C49" i="3"/>
  <c r="D48" i="3"/>
  <c r="C48" i="3"/>
  <c r="D47" i="3"/>
  <c r="C47" i="3"/>
  <c r="D46" i="3"/>
  <c r="F41" i="2" s="1"/>
  <c r="C46" i="3"/>
  <c r="D45" i="3"/>
  <c r="C45" i="3"/>
  <c r="D44" i="3"/>
  <c r="D15" i="3" s="1" a="1"/>
  <c r="C44" i="3"/>
  <c r="D43" i="3"/>
  <c r="C43" i="3"/>
  <c r="D42" i="3"/>
  <c r="F37" i="2" s="1"/>
  <c r="C42" i="3"/>
  <c r="D39" i="3"/>
  <c r="C39" i="3"/>
  <c r="D38" i="3"/>
  <c r="E45" i="2" s="1"/>
  <c r="C38" i="3"/>
  <c r="D37" i="3"/>
  <c r="C37" i="3"/>
  <c r="D36" i="3"/>
  <c r="C36" i="3"/>
  <c r="D35" i="3"/>
  <c r="C35" i="3"/>
  <c r="D34" i="3"/>
  <c r="E41" i="2" s="1"/>
  <c r="G41" i="2" s="1"/>
  <c r="C34" i="3"/>
  <c r="D33" i="3"/>
  <c r="C33" i="3"/>
  <c r="D32" i="3"/>
  <c r="C32" i="3"/>
  <c r="D31" i="3"/>
  <c r="C31" i="3"/>
  <c r="D30" i="3"/>
  <c r="E37" i="2" s="1"/>
  <c r="E49" i="2" s="1"/>
  <c r="C30" i="3"/>
  <c r="D27" i="3"/>
  <c r="D26" i="3"/>
  <c r="D25" i="3"/>
  <c r="D24" i="3"/>
  <c r="D43" i="2" s="1"/>
  <c r="G43" i="2" s="1"/>
  <c r="D23" i="3"/>
  <c r="D22" i="3"/>
  <c r="D21" i="3"/>
  <c r="D13" i="3" s="1" a="1"/>
  <c r="D20" i="3"/>
  <c r="D19" i="3"/>
  <c r="D18" i="3"/>
  <c r="D12" i="3" a="1"/>
  <c r="K12" i="3" s="1"/>
  <c r="E8" i="3"/>
  <c r="L49" i="2"/>
  <c r="N29" i="2" s="1"/>
  <c r="K49" i="2"/>
  <c r="F48" i="2"/>
  <c r="E48" i="2"/>
  <c r="D48" i="2"/>
  <c r="G48" i="2" s="1"/>
  <c r="C48" i="2"/>
  <c r="F47" i="2"/>
  <c r="E47" i="2"/>
  <c r="G47" i="2" s="1"/>
  <c r="D47" i="2"/>
  <c r="C47" i="2"/>
  <c r="G46" i="2"/>
  <c r="F46" i="2"/>
  <c r="E46" i="2"/>
  <c r="D46" i="2"/>
  <c r="C46" i="2"/>
  <c r="D45" i="2"/>
  <c r="C45" i="2"/>
  <c r="F44" i="2"/>
  <c r="E44" i="2"/>
  <c r="D44" i="2"/>
  <c r="G44" i="2" s="1"/>
  <c r="C44" i="2"/>
  <c r="F43" i="2"/>
  <c r="E43" i="2"/>
  <c r="C43" i="2"/>
  <c r="F42" i="2"/>
  <c r="E42" i="2"/>
  <c r="D42" i="2"/>
  <c r="G42" i="2" s="1"/>
  <c r="C42" i="2"/>
  <c r="D41" i="2"/>
  <c r="C41" i="2"/>
  <c r="F40" i="2"/>
  <c r="E40" i="2"/>
  <c r="C40" i="2"/>
  <c r="E39" i="2"/>
  <c r="D39" i="2"/>
  <c r="C39" i="2"/>
  <c r="G38" i="2"/>
  <c r="F38" i="2"/>
  <c r="E38" i="2"/>
  <c r="D38" i="2"/>
  <c r="C38" i="2"/>
  <c r="D37" i="2"/>
  <c r="C37" i="2"/>
  <c r="F32" i="2"/>
  <c r="F22" i="2"/>
  <c r="N17" i="2"/>
  <c r="N12" i="2"/>
  <c r="G13" i="3" l="1"/>
  <c r="N13" i="3"/>
  <c r="F13" i="3"/>
  <c r="L13" i="3"/>
  <c r="E13" i="3"/>
  <c r="K13" i="3"/>
  <c r="D13" i="3"/>
  <c r="M13" i="3"/>
  <c r="J13" i="3"/>
  <c r="I13" i="3"/>
  <c r="H13" i="3"/>
  <c r="G45" i="2"/>
  <c r="M15" i="3"/>
  <c r="E15" i="3"/>
  <c r="L15" i="3"/>
  <c r="D15" i="3"/>
  <c r="J15" i="3"/>
  <c r="K15" i="3"/>
  <c r="I15" i="3"/>
  <c r="G15" i="3"/>
  <c r="H15" i="3"/>
  <c r="N15" i="3"/>
  <c r="F15" i="3"/>
  <c r="L12" i="3"/>
  <c r="E11" i="4"/>
  <c r="C12" i="4"/>
  <c r="J12" i="4"/>
  <c r="F13" i="4"/>
  <c r="F39" i="2"/>
  <c r="G39" i="2" s="1"/>
  <c r="E12" i="3"/>
  <c r="M12" i="3"/>
  <c r="F11" i="4"/>
  <c r="F12" i="3"/>
  <c r="N12" i="3"/>
  <c r="G11" i="4"/>
  <c r="D12" i="4"/>
  <c r="L12" i="4"/>
  <c r="H13" i="4"/>
  <c r="E14" i="4"/>
  <c r="G12" i="4"/>
  <c r="G37" i="2"/>
  <c r="D14" i="3" a="1"/>
  <c r="G12" i="3"/>
  <c r="H11" i="4"/>
  <c r="E12" i="4"/>
  <c r="I13" i="4"/>
  <c r="F14" i="4"/>
  <c r="C11" i="4"/>
  <c r="D40" i="2"/>
  <c r="G40" i="2" s="1"/>
  <c r="H12" i="3"/>
  <c r="I11" i="4"/>
  <c r="F12" i="4"/>
  <c r="C13" i="4"/>
  <c r="J13" i="4"/>
  <c r="G14" i="4"/>
  <c r="K13" i="4"/>
  <c r="H14" i="4"/>
  <c r="K11" i="4"/>
  <c r="H12" i="4"/>
  <c r="D13" i="4"/>
  <c r="L13" i="4"/>
  <c r="I14" i="4"/>
  <c r="I12" i="3"/>
  <c r="J11" i="4"/>
  <c r="J12" i="3"/>
  <c r="D12" i="3"/>
  <c r="D11" i="4"/>
  <c r="I12" i="4"/>
  <c r="E13" i="4"/>
  <c r="C14" i="4"/>
  <c r="J14" i="4"/>
  <c r="K14" i="4"/>
  <c r="D14" i="4"/>
  <c r="O13" i="3" l="1"/>
  <c r="N12" i="4"/>
  <c r="G49" i="2"/>
  <c r="N23" i="2" s="1"/>
  <c r="F49" i="2"/>
  <c r="D49" i="2"/>
  <c r="J14" i="3"/>
  <c r="I14" i="3"/>
  <c r="G14" i="3"/>
  <c r="H14" i="3"/>
  <c r="N14" i="3"/>
  <c r="F14" i="3"/>
  <c r="L14" i="3"/>
  <c r="M14" i="3"/>
  <c r="E14" i="3"/>
  <c r="K14" i="3"/>
  <c r="D14" i="3"/>
  <c r="O14" i="3" s="1"/>
  <c r="N14" i="4"/>
  <c r="O1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<sst xmlns="http://schemas.openxmlformats.org/spreadsheetml/2006/main" count="143" uniqueCount="101">
  <si>
    <t>Chicago, IL 60631</t>
  </si>
  <si>
    <t>info@construct.com</t>
  </si>
  <si>
    <t>construct.com</t>
  </si>
  <si>
    <t>222 555 7777</t>
  </si>
  <si>
    <t>Project Overview</t>
  </si>
  <si>
    <t>This residential construction budget project involves developing comprehensive budget estimates for Construct Corp's residential construction project in Chicago, IL. The scope of the project includes analyzing construction plans, material costs, labor expenses, and other related factors to provide accurate and cost-effective budget recommendations for clients.</t>
  </si>
  <si>
    <t>Assumptions and Exclusions</t>
  </si>
  <si>
    <t>1. The budget includes all required construction permits and approvals.</t>
  </si>
  <si>
    <t>2. The budget excludes costs for architectural or design fees.</t>
  </si>
  <si>
    <t>3. Any unforeseen site conditions or changes in the project scope are not accounted for in the budget.</t>
  </si>
  <si>
    <t>4. The budget does not include post-renovation cleaning service fees.</t>
  </si>
  <si>
    <t>5. The budget excludes any additional fees for landscaping or exterior improvements.</t>
  </si>
  <si>
    <t>Residential Construction Budget</t>
  </si>
  <si>
    <t>Value Engineering</t>
  </si>
  <si>
    <t>Cost Category</t>
  </si>
  <si>
    <t>Proposed Alternative</t>
  </si>
  <si>
    <t>Estimated Cost Savings</t>
  </si>
  <si>
    <t>Electrical</t>
  </si>
  <si>
    <t>LED lighting fixtures</t>
  </si>
  <si>
    <t>Plumbing</t>
  </si>
  <si>
    <t>Water-efficient fixtures</t>
  </si>
  <si>
    <t>HVAC</t>
  </si>
  <si>
    <t>Energy-efficient HVAC system</t>
  </si>
  <si>
    <t>Flooring</t>
  </si>
  <si>
    <t>Waterproof vinyl flooring</t>
  </si>
  <si>
    <t>Total  :</t>
  </si>
  <si>
    <t>Budget Summary</t>
  </si>
  <si>
    <t>Category</t>
  </si>
  <si>
    <t>Total Estimated Cost</t>
  </si>
  <si>
    <t>Contingency Costs</t>
  </si>
  <si>
    <t>Additional Provisions</t>
  </si>
  <si>
    <t>-</t>
  </si>
  <si>
    <t>Cost Breakdown Structure</t>
  </si>
  <si>
    <t>Cash Flow Projection</t>
  </si>
  <si>
    <t>Labor</t>
  </si>
  <si>
    <t>Materials</t>
  </si>
  <si>
    <t>Equipment</t>
  </si>
  <si>
    <t>Total</t>
  </si>
  <si>
    <t>Month</t>
  </si>
  <si>
    <t>Cash Inflow</t>
  </si>
  <si>
    <t>Cash Outflow</t>
  </si>
  <si>
    <t>Remarks</t>
  </si>
  <si>
    <t>January</t>
  </si>
  <si>
    <t>Initial client payment</t>
  </si>
  <si>
    <t>February</t>
  </si>
  <si>
    <t>Acquisition of permits and start of the construction project</t>
  </si>
  <si>
    <t>March</t>
  </si>
  <si>
    <t>April</t>
  </si>
  <si>
    <t>May</t>
  </si>
  <si>
    <t>June</t>
  </si>
  <si>
    <t>July</t>
  </si>
  <si>
    <t>August</t>
  </si>
  <si>
    <t>September</t>
  </si>
  <si>
    <t>October</t>
  </si>
  <si>
    <t>November</t>
  </si>
  <si>
    <t>December</t>
  </si>
  <si>
    <t>COST BREAKDOWN STRUCTURE</t>
  </si>
  <si>
    <t xml:space="preserve">Date Prepared                </t>
  </si>
  <si>
    <t xml:space="preserve">Prepared by                </t>
  </si>
  <si>
    <t>John Mitchell</t>
  </si>
  <si>
    <t xml:space="preserve">For the Year               </t>
  </si>
  <si>
    <t>CATEGORY</t>
  </si>
  <si>
    <t>TOTAL COST</t>
  </si>
  <si>
    <t>LABOR</t>
  </si>
  <si>
    <t>MATERIALS</t>
  </si>
  <si>
    <t>EQUIPMENT</t>
  </si>
  <si>
    <t xml:space="preserve">   LABOR</t>
  </si>
  <si>
    <t>TOTAL</t>
  </si>
  <si>
    <t>Excavation</t>
  </si>
  <si>
    <t>Foundation</t>
  </si>
  <si>
    <t>Framing</t>
  </si>
  <si>
    <t>Roofing</t>
  </si>
  <si>
    <t>Insulation</t>
  </si>
  <si>
    <t>Drywall</t>
  </si>
  <si>
    <t>EQUIPTMENT</t>
  </si>
  <si>
    <t>CASH INFLOW</t>
  </si>
  <si>
    <t>CASH OUTFLOW</t>
  </si>
  <si>
    <t>CASH FLOW</t>
  </si>
  <si>
    <t>CASH FLOW IN TOTAL</t>
  </si>
  <si>
    <t>IN</t>
  </si>
  <si>
    <t>CASH FLOW OUT TOTAL</t>
  </si>
  <si>
    <t>OUT</t>
  </si>
  <si>
    <t>Rental</t>
  </si>
  <si>
    <t>Personal Funds</t>
  </si>
  <si>
    <t>Loans</t>
  </si>
  <si>
    <t>Investment</t>
  </si>
  <si>
    <t>Personal Saving</t>
  </si>
  <si>
    <t>Labor Cost</t>
  </si>
  <si>
    <t>Permits &amp; Fees</t>
  </si>
  <si>
    <t>Equiptment &amp; Tools</t>
  </si>
  <si>
    <t>Utilities</t>
  </si>
  <si>
    <t>Insurance</t>
  </si>
  <si>
    <t>Professional  Services</t>
  </si>
  <si>
    <t>Marketing &amp; Advertisment</t>
  </si>
  <si>
    <t>Contingency</t>
  </si>
  <si>
    <t>Other Expenses</t>
  </si>
  <si>
    <t>The following are instructions on how to use the template.</t>
  </si>
  <si>
    <t>1. Edit or add content like inserting rows and columns to the template.</t>
  </si>
  <si>
    <t>2. There are no locked-up cells for easier editing of cell names.</t>
  </si>
  <si>
    <t>3. Feel free to change any formula available.</t>
  </si>
  <si>
    <t>Should you need assistance, please contact our Customer Support Team using the chat box found on the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</si>
</sst>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yyyy"/>
    <numFmt numFmtId="165" formatCode="mmm"/>
  </numFmts>
  <fonts count="26">
    <font>
      <sz val="10"/>
      <color rgb="FF000000"/>
      <name val="Arial"/>
      <scheme val="minor"/>
    </font>
    <font>
      <b/>
      <sz val="12"/>
      <color theme="1"/>
      <name val="Proxima Nova"/>
    </font>
    <font>
      <sz val="12"/>
      <color theme="1"/>
      <name val="Proxima Nova"/>
    </font>
    <font>
      <sz val="12"/>
      <color rgb="FF000000"/>
      <name val="Proxima Nova"/>
    </font>
    <font>
      <b/>
      <sz val="12"/>
      <color rgb="FF000000"/>
      <name val="Proxima Nova"/>
    </font>
    <font>
      <sz val="10"/>
      <color theme="1"/>
      <name val="Arial"/>
      <scheme val="minor"/>
    </font>
    <font>
      <sz val="10"/>
      <color theme="1"/>
      <name val="&quot;Proxima Nova&quot;"/>
    </font>
    <font>
      <sz val="10"/>
      <color rgb="FF1155CC"/>
      <name val="Helvetica Neue"/>
    </font>
    <font>
      <sz val="12"/>
      <color theme="1"/>
      <name val="Arial"/>
      <scheme val="minor"/>
    </font>
    <font>
      <b/>
      <sz val="18"/>
      <color rgb="FFFFFFFF"/>
      <name val="Proxima Nova"/>
    </font>
    <font>
      <sz val="10"/>
      <name val="Arial"/>
    </font>
    <font>
      <b/>
      <sz val="12"/>
      <color rgb="FFFFFFFF"/>
      <name val="Proxima Nova"/>
    </font>
    <font>
      <b/>
      <sz val="18"/>
      <color rgb="FFF3F0DA"/>
      <name val="Proxima Nova"/>
    </font>
    <font>
      <sz val="12"/>
      <color rgb="FF94882C"/>
      <name val="Proxima Nova"/>
    </font>
    <font>
      <sz val="14"/>
      <color theme="1"/>
      <name val="Proxima Nova"/>
    </font>
    <font>
      <b/>
      <sz val="12"/>
      <color rgb="FF434343"/>
      <name val="Proxima Nova"/>
    </font>
    <font>
      <b/>
      <sz val="14"/>
      <color rgb="FFFFFFFF"/>
      <name val="Proxima Nova"/>
    </font>
    <font>
      <sz val="12"/>
      <color rgb="FF434343"/>
      <name val="Proxima Nova"/>
    </font>
    <font>
      <b/>
      <sz val="16"/>
      <color rgb="FFFFFFFF"/>
      <name val="Proxima Nova"/>
    </font>
    <font>
      <b/>
      <sz val="16"/>
      <color rgb="FF94882C"/>
      <name val="Proxima Nova"/>
    </font>
    <font>
      <b/>
      <sz val="12"/>
      <color rgb="FF312B05"/>
      <name val="Proxima Nova"/>
    </font>
    <font>
      <sz val="11"/>
      <color theme="1"/>
      <name val="Roboto"/>
    </font>
    <font>
      <b/>
      <sz val="20"/>
      <color theme="7" tint="-0.249977111117893"/>
      <name val="Proxima Nova"/>
    </font>
    <font>
      <sz val="12"/>
      <color rgb="FFF3F0DA"/>
      <name val="Proxima Nova"/>
    </font>
    <font>
      <sz val="9"/>
      <color rgb="FFF3F0DA"/>
      <name val="&quot;Google Sans Mono&quot;"/>
    </font>
    <font>
      <sz val="11"/>
      <color rgb="FFF3F0DA"/>
      <name val="Arial"/>
      <family val="2"/>
    </font>
  </fonts>
  <fills count="8">
    <fill>
      <patternFill patternType="none"/>
    </fill>
    <fill>
      <patternFill patternType="gray125"/>
    </fill>
    <fill>
      <patternFill patternType="solid">
        <fgColor rgb="FFFFFFFF"/>
        <bgColor rgb="FFFFFFFF"/>
      </patternFill>
    </fill>
    <fill>
      <patternFill patternType="solid">
        <fgColor rgb="FFF3F0DA"/>
        <bgColor rgb="FFF3F0DA"/>
      </patternFill>
    </fill>
    <fill>
      <patternFill patternType="solid">
        <fgColor rgb="FF000000"/>
        <bgColor rgb="FF000000"/>
      </patternFill>
    </fill>
    <fill>
      <patternFill patternType="solid">
        <fgColor rgb="FFF3F3F3"/>
        <bgColor rgb="FFF3F3F3"/>
      </patternFill>
    </fill>
    <fill>
      <patternFill patternType="solid">
        <fgColor rgb="FF312B05"/>
        <bgColor rgb="FF312B05"/>
      </patternFill>
    </fill>
    <fill>
      <patternFill patternType="solid">
        <fgColor theme="2"/>
        <bgColor rgb="FFF3F0DA"/>
      </patternFill>
    </fill>
  </fills>
  <borders count="92">
    <border>
      <left/>
      <right/>
      <top/>
      <bottom/>
      <diagonal/>
    </border>
    <border>
      <left style="medium">
        <color rgb="FFB7B7B7"/>
      </left>
      <right/>
      <top style="medium">
        <color rgb="FFB7B7B7"/>
      </top>
      <bottom/>
      <diagonal/>
    </border>
    <border>
      <left/>
      <right/>
      <top style="medium">
        <color rgb="FFB7B7B7"/>
      </top>
      <bottom/>
      <diagonal/>
    </border>
    <border>
      <left/>
      <right style="medium">
        <color rgb="FFB7B7B7"/>
      </right>
      <top style="medium">
        <color rgb="FFB7B7B7"/>
      </top>
      <bottom/>
      <diagonal/>
    </border>
    <border>
      <left style="medium">
        <color rgb="FFB7B7B7"/>
      </left>
      <right/>
      <top/>
      <bottom/>
      <diagonal/>
    </border>
    <border>
      <left/>
      <right style="medium">
        <color rgb="FFB7B7B7"/>
      </right>
      <top/>
      <bottom/>
      <diagonal/>
    </border>
    <border>
      <left/>
      <right/>
      <top style="thick">
        <color rgb="FF274E13"/>
      </top>
      <bottom/>
      <diagonal/>
    </border>
    <border>
      <left style="medium">
        <color rgb="FFB7B7B7"/>
      </left>
      <right/>
      <top/>
      <bottom style="medium">
        <color rgb="FFB7B7B7"/>
      </bottom>
      <diagonal/>
    </border>
    <border>
      <left/>
      <right/>
      <top/>
      <bottom style="medium">
        <color rgb="FFB7B7B7"/>
      </bottom>
      <diagonal/>
    </border>
    <border>
      <left/>
      <right style="medium">
        <color rgb="FFB7B7B7"/>
      </right>
      <top/>
      <bottom style="medium">
        <color rgb="FFB7B7B7"/>
      </bottom>
      <diagonal/>
    </border>
    <border>
      <left style="thin">
        <color rgb="FF666666"/>
      </left>
      <right/>
      <top style="thin">
        <color rgb="FF666666"/>
      </top>
      <bottom/>
      <diagonal/>
    </border>
    <border>
      <left/>
      <right/>
      <top style="thin">
        <color rgb="FF666666"/>
      </top>
      <bottom/>
      <diagonal/>
    </border>
    <border>
      <left/>
      <right style="thin">
        <color rgb="FF666666"/>
      </right>
      <top style="thin">
        <color rgb="FF666666"/>
      </top>
      <bottom/>
      <diagonal/>
    </border>
    <border>
      <left style="thin">
        <color rgb="FF666666"/>
      </left>
      <right/>
      <top/>
      <bottom/>
      <diagonal/>
    </border>
    <border>
      <left/>
      <right style="thin">
        <color rgb="FF666666"/>
      </right>
      <top/>
      <bottom/>
      <diagonal/>
    </border>
    <border>
      <left/>
      <right/>
      <top style="thick">
        <color rgb="FF666666"/>
      </top>
      <bottom/>
      <diagonal/>
    </border>
    <border>
      <left style="thick">
        <color rgb="FF999999"/>
      </left>
      <right/>
      <top style="thick">
        <color rgb="FF999999"/>
      </top>
      <bottom style="thick">
        <color rgb="FF999999"/>
      </bottom>
      <diagonal/>
    </border>
    <border>
      <left/>
      <right/>
      <top style="thick">
        <color rgb="FF999999"/>
      </top>
      <bottom style="thick">
        <color rgb="FF999999"/>
      </bottom>
      <diagonal/>
    </border>
    <border>
      <left/>
      <right style="thick">
        <color rgb="FF999999"/>
      </right>
      <top style="thick">
        <color rgb="FF999999"/>
      </top>
      <bottom style="thick">
        <color rgb="FF999999"/>
      </bottom>
      <diagonal/>
    </border>
    <border>
      <left/>
      <right/>
      <top/>
      <bottom style="thin">
        <color rgb="FF999999"/>
      </bottom>
      <diagonal/>
    </border>
    <border>
      <left style="thin">
        <color rgb="FF999999"/>
      </left>
      <right style="thin">
        <color rgb="FF999999"/>
      </right>
      <top/>
      <bottom style="thin">
        <color rgb="FF999999"/>
      </bottom>
      <diagonal/>
    </border>
    <border>
      <left/>
      <right style="thin">
        <color rgb="FF999999"/>
      </right>
      <top/>
      <bottom style="thin">
        <color rgb="FF999999"/>
      </bottom>
      <diagonal/>
    </border>
    <border>
      <left style="thin">
        <color rgb="FF999999"/>
      </left>
      <right style="thin">
        <color rgb="FFD9D9D9"/>
      </right>
      <top/>
      <bottom style="thin">
        <color rgb="FFD9D9D9"/>
      </bottom>
      <diagonal/>
    </border>
    <border>
      <left style="thin">
        <color rgb="FFD9D9D9"/>
      </left>
      <right/>
      <top/>
      <bottom style="thin">
        <color rgb="FFD9D9D9"/>
      </bottom>
      <diagonal/>
    </border>
    <border>
      <left/>
      <right style="thin">
        <color rgb="FFD9D9D9"/>
      </right>
      <top/>
      <bottom style="thin">
        <color rgb="FFD9D9D9"/>
      </bottom>
      <diagonal/>
    </border>
    <border>
      <left/>
      <right style="thin">
        <color rgb="FF999999"/>
      </right>
      <top/>
      <bottom style="thin">
        <color rgb="FFD9D9D9"/>
      </bottom>
      <diagonal/>
    </border>
    <border>
      <left style="thin">
        <color rgb="FF99999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right style="thin">
        <color rgb="FF999999"/>
      </right>
      <top style="thin">
        <color rgb="FFD9D9D9"/>
      </top>
      <bottom style="thin">
        <color rgb="FFD9D9D9"/>
      </bottom>
      <diagonal/>
    </border>
    <border>
      <left style="thin">
        <color rgb="FF999999"/>
      </left>
      <right style="thin">
        <color rgb="FFD9D9D9"/>
      </right>
      <top style="thin">
        <color rgb="FFD9D9D9"/>
      </top>
      <bottom style="thin">
        <color rgb="FF999999"/>
      </bottom>
      <diagonal/>
    </border>
    <border>
      <left style="thin">
        <color rgb="FFD9D9D9"/>
      </left>
      <right/>
      <top style="thin">
        <color rgb="FFD9D9D9"/>
      </top>
      <bottom style="thin">
        <color rgb="FF999999"/>
      </bottom>
      <diagonal/>
    </border>
    <border>
      <left/>
      <right style="thin">
        <color rgb="FFD9D9D9"/>
      </right>
      <top style="thin">
        <color rgb="FFD9D9D9"/>
      </top>
      <bottom style="thin">
        <color rgb="FF999999"/>
      </bottom>
      <diagonal/>
    </border>
    <border>
      <left/>
      <right style="thin">
        <color rgb="FF999999"/>
      </right>
      <top style="thin">
        <color rgb="FFD9D9D9"/>
      </top>
      <bottom style="thin">
        <color rgb="FF999999"/>
      </bottom>
      <diagonal/>
    </border>
    <border>
      <left style="thin">
        <color rgb="FF999999"/>
      </left>
      <right/>
      <top/>
      <bottom style="thin">
        <color rgb="FF999999"/>
      </bottom>
      <diagonal/>
    </border>
    <border>
      <left style="thin">
        <color rgb="FF999999"/>
      </left>
      <right/>
      <top/>
      <bottom style="thin">
        <color rgb="FFD9D9D9"/>
      </bottom>
      <diagonal/>
    </border>
    <border>
      <left/>
      <right/>
      <top/>
      <bottom style="thin">
        <color rgb="FFD9D9D9"/>
      </bottom>
      <diagonal/>
    </border>
    <border>
      <left style="thin">
        <color rgb="FF999999"/>
      </left>
      <right/>
      <top style="thin">
        <color rgb="FFD9D9D9"/>
      </top>
      <bottom style="thin">
        <color rgb="FFD9D9D9"/>
      </bottom>
      <diagonal/>
    </border>
    <border>
      <left/>
      <right/>
      <top style="thin">
        <color rgb="FFD9D9D9"/>
      </top>
      <bottom style="thin">
        <color rgb="FFD9D9D9"/>
      </bottom>
      <diagonal/>
    </border>
    <border>
      <left style="thin">
        <color rgb="FF99999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style="thin">
        <color rgb="FFD9D9D9"/>
      </top>
      <bottom/>
      <diagonal/>
    </border>
    <border>
      <left/>
      <right style="thin">
        <color rgb="FF999999"/>
      </right>
      <top style="thin">
        <color rgb="FFD9D9D9"/>
      </top>
      <bottom/>
      <diagonal/>
    </border>
    <border>
      <left style="thin">
        <color rgb="FF999999"/>
      </left>
      <right/>
      <top style="thin">
        <color rgb="FFD9D9D9"/>
      </top>
      <bottom style="thin">
        <color rgb="FF999999"/>
      </bottom>
      <diagonal/>
    </border>
    <border>
      <left/>
      <right/>
      <top style="thin">
        <color rgb="FFD9D9D9"/>
      </top>
      <bottom style="thin">
        <color rgb="FF999999"/>
      </bottom>
      <diagonal/>
    </border>
    <border>
      <left/>
      <right/>
      <top style="thick">
        <color rgb="FF312B05"/>
      </top>
      <bottom/>
      <diagonal/>
    </border>
    <border>
      <left style="thin">
        <color rgb="FFD9D9D9"/>
      </left>
      <right style="thin">
        <color rgb="FFD9D9D9"/>
      </right>
      <top/>
      <bottom style="thin">
        <color rgb="FFD9D9D9"/>
      </bottom>
      <diagonal/>
    </border>
    <border>
      <left style="thin">
        <color rgb="FFD9D9D9"/>
      </left>
      <right style="thin">
        <color rgb="FF99999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999999"/>
      </right>
      <top style="thin">
        <color rgb="FFD9D9D9"/>
      </top>
      <bottom style="thin">
        <color rgb="FFD9D9D9"/>
      </bottom>
      <diagonal/>
    </border>
    <border>
      <left style="thin">
        <color rgb="FFD9D9D9"/>
      </left>
      <right style="thin">
        <color rgb="FFD9D9D9"/>
      </right>
      <top style="thin">
        <color rgb="FFD9D9D9"/>
      </top>
      <bottom style="thin">
        <color rgb="FF999999"/>
      </bottom>
      <diagonal/>
    </border>
    <border>
      <left style="thin">
        <color rgb="FFD9D9D9"/>
      </left>
      <right style="thin">
        <color rgb="FF999999"/>
      </right>
      <top style="thin">
        <color rgb="FFD9D9D9"/>
      </top>
      <bottom style="thin">
        <color rgb="FF999999"/>
      </bottom>
      <diagonal/>
    </border>
    <border>
      <left style="thin">
        <color rgb="FF666666"/>
      </left>
      <right/>
      <top/>
      <bottom style="thin">
        <color rgb="FF666666"/>
      </bottom>
      <diagonal/>
    </border>
    <border>
      <left/>
      <right/>
      <top/>
      <bottom style="thin">
        <color rgb="FF666666"/>
      </bottom>
      <diagonal/>
    </border>
    <border>
      <left/>
      <right style="thin">
        <color rgb="FF666666"/>
      </right>
      <top/>
      <bottom style="thin">
        <color rgb="FF666666"/>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style="thin">
        <color rgb="FFCCCCCC"/>
      </left>
      <right/>
      <top/>
      <bottom/>
      <diagonal/>
    </border>
    <border>
      <left/>
      <right style="thin">
        <color rgb="FFCCCCCC"/>
      </right>
      <top/>
      <bottom style="thin">
        <color rgb="FFD9D9D9"/>
      </bottom>
      <diagonal/>
    </border>
    <border>
      <left/>
      <right style="thin">
        <color rgb="FFCCCCCC"/>
      </right>
      <top style="thin">
        <color rgb="FFD9D9D9"/>
      </top>
      <bottom style="thin">
        <color rgb="FFD9D9D9"/>
      </bottom>
      <diagonal/>
    </border>
    <border>
      <left style="thin">
        <color rgb="FFCCCCCC"/>
      </left>
      <right/>
      <top/>
      <bottom style="thin">
        <color rgb="FFCCCCCC"/>
      </bottom>
      <diagonal/>
    </border>
    <border>
      <left/>
      <right/>
      <top style="thin">
        <color rgb="FFD9D9D9"/>
      </top>
      <bottom style="thin">
        <color rgb="FFCCCCCC"/>
      </bottom>
      <diagonal/>
    </border>
    <border>
      <left/>
      <right style="thin">
        <color rgb="FFCCCCCC"/>
      </right>
      <top style="thin">
        <color rgb="FFD9D9D9"/>
      </top>
      <bottom style="thin">
        <color rgb="FFCCCCCC"/>
      </bottom>
      <diagonal/>
    </border>
    <border>
      <left style="thin">
        <color rgb="FFB7B7B7"/>
      </left>
      <right/>
      <top style="thin">
        <color rgb="FFB7B7B7"/>
      </top>
      <bottom/>
      <diagonal/>
    </border>
    <border>
      <left style="thin">
        <color rgb="FFB7B7B7"/>
      </left>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style="thin">
        <color rgb="FFD9D9D9"/>
      </bottom>
      <diagonal/>
    </border>
    <border>
      <left style="thin">
        <color rgb="FFB7B7B7"/>
      </left>
      <right/>
      <top style="thin">
        <color rgb="FFD9D9D9"/>
      </top>
      <bottom style="thin">
        <color rgb="FFD9D9D9"/>
      </bottom>
      <diagonal/>
    </border>
    <border>
      <left/>
      <right style="thin">
        <color rgb="FFB7B7B7"/>
      </right>
      <top style="thin">
        <color rgb="FFD9D9D9"/>
      </top>
      <bottom style="thin">
        <color rgb="FFD9D9D9"/>
      </bottom>
      <diagonal/>
    </border>
    <border>
      <left style="thin">
        <color rgb="FFB7B7B7"/>
      </left>
      <right/>
      <top style="thin">
        <color rgb="FFD9D9D9"/>
      </top>
      <bottom style="thin">
        <color rgb="FFB7B7B7"/>
      </bottom>
      <diagonal/>
    </border>
    <border>
      <left/>
      <right/>
      <top style="thin">
        <color rgb="FFD9D9D9"/>
      </top>
      <bottom style="thin">
        <color rgb="FFB7B7B7"/>
      </bottom>
      <diagonal/>
    </border>
    <border>
      <left/>
      <right style="thin">
        <color rgb="FFB7B7B7"/>
      </right>
      <top style="thin">
        <color rgb="FFD9D9D9"/>
      </top>
      <bottom style="thin">
        <color rgb="FFB7B7B7"/>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B7B7B7"/>
      </left>
      <right/>
      <top/>
      <bottom style="thin">
        <color rgb="FFD9D9D9"/>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bottom/>
      <diagonal/>
    </border>
    <border>
      <left/>
      <right style="thin">
        <color rgb="FF999999"/>
      </right>
      <top/>
      <bottom/>
      <diagonal/>
    </border>
    <border>
      <left style="thin">
        <color rgb="FFB7B7B7"/>
      </left>
      <right style="thin">
        <color rgb="FFB7B7B7"/>
      </right>
      <top/>
      <bottom style="thin">
        <color rgb="FFB7B7B7"/>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238">
    <xf numFmtId="0" fontId="0" fillId="0" borderId="0" xfId="0"/>
    <xf numFmtId="0" fontId="1" fillId="0" borderId="0" xfId="0" applyFont="1" applyAlignment="1">
      <alignment horizontal="center"/>
    </xf>
    <xf numFmtId="0" fontId="2" fillId="0" borderId="0" xfId="0" applyFont="1"/>
    <xf numFmtId="0" fontId="1" fillId="0" borderId="1" xfId="0" applyFont="1" applyBorder="1" applyAlignment="1">
      <alignment horizontal="center"/>
    </xf>
    <xf numFmtId="0" fontId="1" fillId="0" borderId="2" xfId="0" applyFont="1" applyBorder="1" applyAlignment="1">
      <alignment horizontal="center"/>
    </xf>
    <xf numFmtId="0" fontId="2" fillId="0" borderId="2" xfId="0" applyFont="1" applyBorder="1"/>
    <xf numFmtId="0" fontId="2" fillId="0" borderId="3" xfId="0" applyFont="1" applyBorder="1"/>
    <xf numFmtId="0" fontId="1" fillId="0" borderId="4" xfId="0" applyFont="1" applyBorder="1" applyAlignment="1">
      <alignment horizontal="center"/>
    </xf>
    <xf numFmtId="0" fontId="2" fillId="0" borderId="5" xfId="0" applyFont="1" applyBorder="1"/>
    <xf numFmtId="0" fontId="3" fillId="0" borderId="0" xfId="0" applyFont="1" applyAlignment="1">
      <alignment horizontal="right"/>
    </xf>
    <xf numFmtId="0" fontId="2" fillId="0" borderId="4" xfId="0" applyFont="1" applyBorder="1"/>
    <xf numFmtId="0" fontId="1" fillId="0" borderId="0" xfId="0" applyFont="1" applyAlignment="1">
      <alignment horizontal="center" vertical="center"/>
    </xf>
    <xf numFmtId="0" fontId="1" fillId="0" borderId="4" xfId="0" applyFont="1" applyBorder="1" applyAlignment="1">
      <alignment horizontal="center" vertical="center"/>
    </xf>
    <xf numFmtId="0" fontId="4" fillId="2" borderId="6" xfId="0" applyFont="1" applyFill="1" applyBorder="1" applyAlignment="1">
      <alignment horizontal="left" vertical="center"/>
    </xf>
    <xf numFmtId="0" fontId="5" fillId="0" borderId="6" xfId="0" applyFont="1" applyBorder="1" applyAlignment="1">
      <alignment vertical="center"/>
    </xf>
    <xf numFmtId="0" fontId="1" fillId="0" borderId="6" xfId="0" applyFont="1" applyBorder="1" applyAlignment="1">
      <alignment horizontal="center" vertical="center"/>
    </xf>
    <xf numFmtId="0" fontId="2" fillId="0" borderId="6" xfId="0" applyFont="1" applyBorder="1" applyAlignment="1">
      <alignment vertical="center"/>
    </xf>
    <xf numFmtId="0" fontId="2" fillId="0" borderId="5" xfId="0" applyFont="1" applyBorder="1" applyAlignment="1">
      <alignment vertical="center"/>
    </xf>
    <xf numFmtId="0" fontId="2" fillId="0" borderId="0" xfId="0" applyFont="1" applyAlignment="1">
      <alignment vertical="center"/>
    </xf>
    <xf numFmtId="0" fontId="4" fillId="3" borderId="0" xfId="0" applyFont="1" applyFill="1" applyAlignment="1">
      <alignment horizontal="left" vertical="center"/>
    </xf>
    <xf numFmtId="0" fontId="5" fillId="3" borderId="0" xfId="0" applyFont="1" applyFill="1" applyAlignment="1">
      <alignment vertical="center"/>
    </xf>
    <xf numFmtId="0" fontId="1" fillId="0" borderId="0" xfId="0" applyFont="1" applyAlignment="1">
      <alignment vertical="top" wrapText="1"/>
    </xf>
    <xf numFmtId="0" fontId="1" fillId="0" borderId="4" xfId="0" applyFont="1" applyBorder="1" applyAlignment="1">
      <alignment vertical="top" wrapText="1"/>
    </xf>
    <xf numFmtId="0" fontId="1" fillId="0" borderId="0" xfId="0" applyFont="1" applyAlignment="1">
      <alignment vertical="center" wrapText="1"/>
    </xf>
    <xf numFmtId="0" fontId="1" fillId="0" borderId="4" xfId="0" applyFont="1" applyBorder="1" applyAlignment="1">
      <alignment vertical="center" wrapText="1"/>
    </xf>
    <xf numFmtId="0" fontId="1" fillId="3" borderId="0" xfId="0" applyFont="1" applyFill="1" applyAlignment="1">
      <alignment vertical="center"/>
    </xf>
    <xf numFmtId="0" fontId="3" fillId="2" borderId="0" xfId="0" applyFont="1" applyFill="1" applyAlignment="1">
      <alignment horizontal="left" vertical="center" wrapText="1"/>
    </xf>
    <xf numFmtId="0" fontId="2" fillId="0" borderId="4" xfId="0" applyFont="1" applyBorder="1" applyAlignment="1">
      <alignment vertical="center"/>
    </xf>
    <xf numFmtId="0" fontId="5" fillId="0" borderId="0" xfId="0" applyFont="1" applyAlignment="1">
      <alignment vertical="center"/>
    </xf>
    <xf numFmtId="0" fontId="2" fillId="0" borderId="0" xfId="0" applyFont="1" applyAlignment="1">
      <alignment vertical="center" wrapText="1"/>
    </xf>
    <xf numFmtId="0" fontId="1" fillId="0" borderId="0" xfId="0" applyFont="1" applyAlignment="1">
      <alignment vertical="center"/>
    </xf>
    <xf numFmtId="0" fontId="1" fillId="0" borderId="4" xfId="0" applyFont="1" applyBorder="1" applyAlignment="1">
      <alignment vertical="center"/>
    </xf>
    <xf numFmtId="0" fontId="2" fillId="0" borderId="4" xfId="0" applyFont="1" applyBorder="1" applyAlignment="1">
      <alignment vertical="center" wrapText="1"/>
    </xf>
    <xf numFmtId="0" fontId="2" fillId="0" borderId="0" xfId="0" applyFont="1" applyAlignment="1">
      <alignment vertical="top" wrapText="1"/>
    </xf>
    <xf numFmtId="0" fontId="2" fillId="0" borderId="4" xfId="0" applyFont="1" applyBorder="1" applyAlignment="1">
      <alignment vertical="top" wrapText="1"/>
    </xf>
    <xf numFmtId="0" fontId="2" fillId="3" borderId="4" xfId="0" applyFont="1" applyFill="1" applyBorder="1" applyAlignment="1">
      <alignment vertical="top" wrapText="1"/>
    </xf>
    <xf numFmtId="0" fontId="2" fillId="3" borderId="0" xfId="0" applyFont="1" applyFill="1" applyAlignment="1">
      <alignment vertical="top" wrapText="1"/>
    </xf>
    <xf numFmtId="0" fontId="6" fillId="3" borderId="0" xfId="0" applyFont="1" applyFill="1" applyAlignment="1">
      <alignment vertical="top" wrapText="1"/>
    </xf>
    <xf numFmtId="0" fontId="2" fillId="3" borderId="0" xfId="0" applyFont="1" applyFill="1"/>
    <xf numFmtId="0" fontId="2" fillId="3" borderId="5" xfId="0" applyFont="1" applyFill="1" applyBorder="1"/>
    <xf numFmtId="0" fontId="2" fillId="3" borderId="7" xfId="0" applyFont="1" applyFill="1" applyBorder="1" applyAlignment="1">
      <alignment vertical="top" wrapText="1"/>
    </xf>
    <xf numFmtId="0" fontId="2" fillId="3" borderId="8" xfId="0" applyFont="1" applyFill="1" applyBorder="1" applyAlignment="1">
      <alignment vertical="top" wrapText="1"/>
    </xf>
    <xf numFmtId="0" fontId="2" fillId="3" borderId="8" xfId="0" applyFont="1" applyFill="1" applyBorder="1"/>
    <xf numFmtId="0" fontId="2" fillId="3" borderId="9" xfId="0" applyFont="1" applyFill="1" applyBorder="1"/>
    <xf numFmtId="0" fontId="7" fillId="0" borderId="0" xfId="0" applyFont="1" applyAlignment="1">
      <alignment vertical="top"/>
    </xf>
    <xf numFmtId="0" fontId="6" fillId="0" borderId="0" xfId="0" applyFont="1" applyAlignment="1">
      <alignment vertical="top" wrapText="1"/>
    </xf>
    <xf numFmtId="0" fontId="1" fillId="4" borderId="10" xfId="0" applyFont="1" applyFill="1" applyBorder="1" applyAlignment="1">
      <alignment horizontal="center"/>
    </xf>
    <xf numFmtId="0" fontId="1" fillId="4" borderId="11" xfId="0" applyFont="1" applyFill="1" applyBorder="1" applyAlignment="1">
      <alignment horizontal="center"/>
    </xf>
    <xf numFmtId="0" fontId="2" fillId="4" borderId="11" xfId="0" applyFont="1" applyFill="1" applyBorder="1"/>
    <xf numFmtId="0" fontId="2" fillId="4" borderId="12" xfId="0" applyFont="1" applyFill="1" applyBorder="1"/>
    <xf numFmtId="0" fontId="1" fillId="0" borderId="13" xfId="0" applyFont="1" applyBorder="1" applyAlignment="1">
      <alignment horizontal="center"/>
    </xf>
    <xf numFmtId="0" fontId="2" fillId="0" borderId="14" xfId="0" applyFont="1" applyBorder="1"/>
    <xf numFmtId="0" fontId="1" fillId="0" borderId="15" xfId="0" applyFont="1" applyBorder="1" applyAlignment="1">
      <alignment horizontal="center"/>
    </xf>
    <xf numFmtId="0" fontId="8" fillId="0" borderId="15" xfId="0" applyFont="1" applyBorder="1"/>
    <xf numFmtId="0" fontId="2" fillId="0" borderId="15" xfId="0" applyFont="1" applyBorder="1"/>
    <xf numFmtId="0" fontId="2" fillId="3" borderId="15" xfId="0" applyFont="1" applyFill="1" applyBorder="1"/>
    <xf numFmtId="0" fontId="2" fillId="0" borderId="13" xfId="0" applyFont="1" applyBorder="1"/>
    <xf numFmtId="0" fontId="1" fillId="0" borderId="19" xfId="0" applyFont="1" applyBorder="1"/>
    <xf numFmtId="0" fontId="2" fillId="0" borderId="19" xfId="0" applyFont="1" applyBorder="1"/>
    <xf numFmtId="0" fontId="1" fillId="0" borderId="13" xfId="0" applyFont="1" applyBorder="1" applyAlignment="1">
      <alignment horizontal="center" vertical="center"/>
    </xf>
    <xf numFmtId="0" fontId="1" fillId="3" borderId="20" xfId="0" applyFont="1" applyFill="1" applyBorder="1" applyAlignment="1">
      <alignment horizontal="center" vertical="center"/>
    </xf>
    <xf numFmtId="0" fontId="2" fillId="3" borderId="0" xfId="0" applyFont="1" applyFill="1" applyAlignment="1">
      <alignment vertical="center"/>
    </xf>
    <xf numFmtId="0" fontId="2" fillId="0" borderId="14" xfId="0" applyFont="1" applyBorder="1" applyAlignment="1">
      <alignment vertical="center"/>
    </xf>
    <xf numFmtId="0" fontId="2" fillId="0" borderId="22" xfId="0" applyFont="1" applyBorder="1" applyAlignment="1">
      <alignment horizontal="center" vertical="center"/>
    </xf>
    <xf numFmtId="0" fontId="2" fillId="0" borderId="26" xfId="0" applyFont="1" applyBorder="1" applyAlignment="1">
      <alignment horizontal="center" vertical="center"/>
    </xf>
    <xf numFmtId="0" fontId="2" fillId="0" borderId="30" xfId="0" applyFont="1" applyBorder="1" applyAlignment="1">
      <alignment horizontal="center" vertical="center"/>
    </xf>
    <xf numFmtId="0" fontId="1" fillId="0" borderId="19" xfId="0" applyFont="1" applyBorder="1" applyAlignment="1">
      <alignment vertical="center"/>
    </xf>
    <xf numFmtId="0" fontId="2" fillId="0" borderId="19" xfId="0" applyFont="1" applyBorder="1" applyAlignment="1">
      <alignment vertical="center"/>
    </xf>
    <xf numFmtId="0" fontId="1" fillId="0" borderId="46" xfId="0" applyFont="1" applyBorder="1" applyAlignment="1">
      <alignment horizontal="center" vertical="center"/>
    </xf>
    <xf numFmtId="0" fontId="5" fillId="0" borderId="13" xfId="0" applyFont="1" applyBorder="1" applyAlignment="1">
      <alignment vertical="center"/>
    </xf>
    <xf numFmtId="0" fontId="1" fillId="3" borderId="21" xfId="0" applyFont="1" applyFill="1" applyBorder="1" applyAlignment="1">
      <alignment horizontal="center" vertical="center"/>
    </xf>
    <xf numFmtId="0" fontId="2" fillId="0" borderId="13" xfId="0" applyFont="1" applyBorder="1" applyAlignment="1">
      <alignment vertical="center"/>
    </xf>
    <xf numFmtId="0" fontId="2" fillId="0" borderId="22" xfId="0" applyFont="1" applyBorder="1" applyAlignment="1">
      <alignment vertical="center"/>
    </xf>
    <xf numFmtId="44" fontId="2" fillId="0" borderId="47" xfId="0" applyNumberFormat="1" applyFont="1" applyBorder="1" applyAlignment="1">
      <alignment horizontal="center" vertical="center"/>
    </xf>
    <xf numFmtId="44" fontId="2" fillId="5" borderId="48" xfId="0" applyNumberFormat="1" applyFont="1" applyFill="1" applyBorder="1" applyAlignment="1">
      <alignment horizontal="center" vertical="center"/>
    </xf>
    <xf numFmtId="0" fontId="2" fillId="0" borderId="26" xfId="0" applyFont="1" applyBorder="1" applyAlignment="1">
      <alignment vertical="center"/>
    </xf>
    <xf numFmtId="44" fontId="2" fillId="0" borderId="49" xfId="0" applyNumberFormat="1" applyFont="1" applyBorder="1" applyAlignment="1">
      <alignment horizontal="center" vertical="center"/>
    </xf>
    <xf numFmtId="44" fontId="2" fillId="5" borderId="50" xfId="0" applyNumberFormat="1" applyFont="1" applyFill="1" applyBorder="1" applyAlignment="1">
      <alignment horizontal="center" vertical="center"/>
    </xf>
    <xf numFmtId="0" fontId="1" fillId="0" borderId="0" xfId="0" applyFont="1" applyAlignment="1">
      <alignment horizontal="right" vertical="center"/>
    </xf>
    <xf numFmtId="0" fontId="1" fillId="0" borderId="13" xfId="0" applyFont="1" applyBorder="1" applyAlignment="1">
      <alignment horizontal="right" vertical="center"/>
    </xf>
    <xf numFmtId="0" fontId="2" fillId="0" borderId="30" xfId="0" applyFont="1" applyBorder="1" applyAlignment="1">
      <alignment vertical="center"/>
    </xf>
    <xf numFmtId="44" fontId="2" fillId="0" borderId="51" xfId="0" applyNumberFormat="1" applyFont="1" applyBorder="1" applyAlignment="1">
      <alignment horizontal="center" vertical="center"/>
    </xf>
    <xf numFmtId="44" fontId="2" fillId="5" borderId="52" xfId="0" applyNumberFormat="1" applyFont="1" applyFill="1" applyBorder="1" applyAlignment="1">
      <alignment horizontal="center" vertical="center"/>
    </xf>
    <xf numFmtId="0" fontId="11" fillId="4" borderId="20" xfId="0" applyFont="1" applyFill="1" applyBorder="1" applyAlignment="1">
      <alignment horizontal="right" vertical="center"/>
    </xf>
    <xf numFmtId="44" fontId="11" fillId="4" borderId="21" xfId="0" applyNumberFormat="1" applyFont="1" applyFill="1" applyBorder="1" applyAlignment="1">
      <alignment horizontal="center" vertical="center"/>
    </xf>
    <xf numFmtId="0" fontId="1" fillId="0" borderId="0" xfId="0" applyFont="1"/>
    <xf numFmtId="0" fontId="5" fillId="4" borderId="53" xfId="0" applyFont="1" applyFill="1" applyBorder="1"/>
    <xf numFmtId="0" fontId="5" fillId="4" borderId="54" xfId="0" applyFont="1" applyFill="1" applyBorder="1"/>
    <xf numFmtId="0" fontId="2" fillId="4" borderId="54" xfId="0" applyFont="1" applyFill="1" applyBorder="1"/>
    <xf numFmtId="0" fontId="5" fillId="4" borderId="55" xfId="0" applyFont="1" applyFill="1" applyBorder="1"/>
    <xf numFmtId="0" fontId="12" fillId="4" borderId="0" xfId="0" applyFont="1" applyFill="1" applyAlignment="1">
      <alignment vertical="center"/>
    </xf>
    <xf numFmtId="0" fontId="13" fillId="4" borderId="0" xfId="0" applyFont="1" applyFill="1"/>
    <xf numFmtId="0" fontId="14" fillId="0" borderId="0" xfId="0" applyFont="1" applyAlignment="1">
      <alignment vertical="center"/>
    </xf>
    <xf numFmtId="0" fontId="15" fillId="0" borderId="0" xfId="0" applyFont="1" applyAlignment="1">
      <alignment horizontal="left" vertical="center"/>
    </xf>
    <xf numFmtId="0" fontId="14" fillId="0" borderId="0" xfId="0" applyFont="1" applyAlignment="1">
      <alignment horizontal="center" vertical="center"/>
    </xf>
    <xf numFmtId="0" fontId="16" fillId="0" borderId="0" xfId="0" applyFont="1" applyAlignment="1">
      <alignment horizontal="center" vertical="center"/>
    </xf>
    <xf numFmtId="0" fontId="14" fillId="0" borderId="0" xfId="0" applyFont="1"/>
    <xf numFmtId="0" fontId="17" fillId="0" borderId="0" xfId="0" applyFont="1" applyAlignment="1">
      <alignment horizontal="left"/>
    </xf>
    <xf numFmtId="0" fontId="14" fillId="0" borderId="0" xfId="0" applyFont="1" applyAlignment="1">
      <alignment horizontal="left"/>
    </xf>
    <xf numFmtId="0" fontId="14" fillId="0" borderId="0" xfId="0" applyFont="1" applyAlignment="1">
      <alignment horizontal="center"/>
    </xf>
    <xf numFmtId="0" fontId="16" fillId="0" borderId="0" xfId="0" applyFont="1" applyAlignment="1">
      <alignment horizontal="left" vertical="center"/>
    </xf>
    <xf numFmtId="0" fontId="11" fillId="0" borderId="0" xfId="0" applyFont="1" applyAlignment="1">
      <alignment horizontal="left" vertical="center"/>
    </xf>
    <xf numFmtId="0" fontId="2" fillId="0" borderId="0" xfId="0" applyFont="1" applyAlignment="1">
      <alignment horizontal="center" vertical="center"/>
    </xf>
    <xf numFmtId="0" fontId="11" fillId="6" borderId="58" xfId="0" applyFont="1" applyFill="1" applyBorder="1" applyAlignment="1">
      <alignment horizontal="left" vertical="center"/>
    </xf>
    <xf numFmtId="0" fontId="2" fillId="5" borderId="59" xfId="0" applyFont="1" applyFill="1" applyBorder="1" applyAlignment="1">
      <alignment horizontal="center" vertical="center"/>
    </xf>
    <xf numFmtId="0" fontId="2" fillId="5" borderId="60" xfId="0" applyFont="1" applyFill="1" applyBorder="1" applyAlignment="1">
      <alignment horizontal="center" vertical="center"/>
    </xf>
    <xf numFmtId="0" fontId="4" fillId="0" borderId="0" xfId="0" applyFont="1"/>
    <xf numFmtId="0" fontId="4" fillId="0" borderId="61" xfId="0" applyFont="1" applyBorder="1"/>
    <xf numFmtId="44" fontId="2" fillId="0" borderId="36" xfId="0" applyNumberFormat="1" applyFont="1" applyBorder="1"/>
    <xf numFmtId="44" fontId="2" fillId="0" borderId="62" xfId="0" applyNumberFormat="1" applyFont="1" applyBorder="1"/>
    <xf numFmtId="44" fontId="2" fillId="0" borderId="38" xfId="0" applyNumberFormat="1" applyFont="1" applyBorder="1"/>
    <xf numFmtId="44" fontId="2" fillId="0" borderId="63" xfId="0" applyNumberFormat="1" applyFont="1" applyBorder="1"/>
    <xf numFmtId="0" fontId="4" fillId="0" borderId="64" xfId="0" applyFont="1" applyBorder="1"/>
    <xf numFmtId="44" fontId="2" fillId="0" borderId="65" xfId="0" applyNumberFormat="1" applyFont="1" applyBorder="1"/>
    <xf numFmtId="44" fontId="2" fillId="0" borderId="66" xfId="0" applyNumberFormat="1" applyFont="1" applyBorder="1"/>
    <xf numFmtId="0" fontId="4" fillId="0" borderId="68" xfId="0" applyFont="1" applyBorder="1" applyAlignment="1">
      <alignment horizontal="center"/>
    </xf>
    <xf numFmtId="0" fontId="1" fillId="5" borderId="69" xfId="0" applyFont="1" applyFill="1" applyBorder="1" applyAlignment="1">
      <alignment horizontal="center"/>
    </xf>
    <xf numFmtId="165" fontId="2" fillId="5" borderId="70" xfId="0" applyNumberFormat="1" applyFont="1" applyFill="1" applyBorder="1" applyAlignment="1">
      <alignment horizontal="center"/>
    </xf>
    <xf numFmtId="165" fontId="2" fillId="5" borderId="71" xfId="0" applyNumberFormat="1" applyFont="1" applyFill="1" applyBorder="1" applyAlignment="1">
      <alignment horizontal="center"/>
    </xf>
    <xf numFmtId="0" fontId="5" fillId="0" borderId="72" xfId="0" applyFont="1" applyBorder="1"/>
    <xf numFmtId="44" fontId="1" fillId="3" borderId="36" xfId="0" applyNumberFormat="1" applyFont="1" applyFill="1" applyBorder="1" applyAlignment="1">
      <alignment horizontal="right"/>
    </xf>
    <xf numFmtId="44" fontId="2" fillId="0" borderId="36" xfId="0" applyNumberFormat="1" applyFont="1" applyBorder="1" applyAlignment="1">
      <alignment horizontal="right"/>
    </xf>
    <xf numFmtId="44" fontId="2" fillId="0" borderId="73" xfId="0" applyNumberFormat="1" applyFont="1" applyBorder="1"/>
    <xf numFmtId="0" fontId="2" fillId="0" borderId="74" xfId="0" applyFont="1" applyBorder="1"/>
    <xf numFmtId="44" fontId="1" fillId="3" borderId="38" xfId="0" applyNumberFormat="1" applyFont="1" applyFill="1" applyBorder="1" applyAlignment="1">
      <alignment horizontal="right"/>
    </xf>
    <xf numFmtId="44" fontId="2" fillId="0" borderId="38" xfId="0" applyNumberFormat="1" applyFont="1" applyBorder="1" applyAlignment="1">
      <alignment horizontal="right"/>
    </xf>
    <xf numFmtId="44" fontId="2" fillId="0" borderId="75" xfId="0" applyNumberFormat="1" applyFont="1" applyBorder="1"/>
    <xf numFmtId="0" fontId="2" fillId="0" borderId="76" xfId="0" applyFont="1" applyBorder="1"/>
    <xf numFmtId="44" fontId="1" fillId="3" borderId="77" xfId="0" applyNumberFormat="1" applyFont="1" applyFill="1" applyBorder="1" applyAlignment="1">
      <alignment horizontal="right"/>
    </xf>
    <xf numFmtId="44" fontId="2" fillId="0" borderId="77" xfId="0" applyNumberFormat="1" applyFont="1" applyBorder="1"/>
    <xf numFmtId="44" fontId="2" fillId="0" borderId="78" xfId="0" applyNumberFormat="1" applyFont="1" applyBorder="1"/>
    <xf numFmtId="0" fontId="18" fillId="0" borderId="0" xfId="0" applyFont="1" applyAlignment="1">
      <alignment horizontal="center" vertical="center" textRotation="90"/>
    </xf>
    <xf numFmtId="0" fontId="2" fillId="0" borderId="79" xfId="0" applyFont="1" applyBorder="1"/>
    <xf numFmtId="44" fontId="1" fillId="0" borderId="80" xfId="0" applyNumberFormat="1" applyFont="1" applyBorder="1" applyAlignment="1">
      <alignment horizontal="right"/>
    </xf>
    <xf numFmtId="44" fontId="2" fillId="0" borderId="80" xfId="0" applyNumberFormat="1" applyFont="1" applyBorder="1"/>
    <xf numFmtId="44" fontId="2" fillId="0" borderId="81" xfId="0" applyNumberFormat="1" applyFont="1" applyBorder="1"/>
    <xf numFmtId="0" fontId="2" fillId="0" borderId="82" xfId="0" applyFont="1" applyBorder="1"/>
    <xf numFmtId="44" fontId="1" fillId="0" borderId="77" xfId="0" applyNumberFormat="1" applyFont="1" applyBorder="1" applyAlignment="1">
      <alignment horizontal="right"/>
    </xf>
    <xf numFmtId="165" fontId="2" fillId="5" borderId="68" xfId="0" applyNumberFormat="1" applyFont="1" applyFill="1" applyBorder="1" applyAlignment="1">
      <alignment horizontal="center"/>
    </xf>
    <xf numFmtId="0" fontId="2" fillId="0" borderId="0" xfId="0" applyFont="1" applyAlignment="1">
      <alignment horizontal="center" textRotation="90"/>
    </xf>
    <xf numFmtId="14" fontId="2" fillId="0" borderId="0" xfId="0" applyNumberFormat="1" applyFont="1" applyAlignment="1">
      <alignment horizontal="left" vertical="center"/>
    </xf>
    <xf numFmtId="0" fontId="19" fillId="0" borderId="0" xfId="0" applyFont="1" applyAlignment="1">
      <alignment horizontal="center" vertical="center"/>
    </xf>
    <xf numFmtId="0" fontId="19" fillId="0" borderId="0" xfId="0" applyFont="1" applyAlignment="1">
      <alignment horizontal="left" vertical="center"/>
    </xf>
    <xf numFmtId="0" fontId="11" fillId="4" borderId="83" xfId="0" applyFont="1" applyFill="1" applyBorder="1" applyAlignment="1">
      <alignment horizontal="center" vertical="center"/>
    </xf>
    <xf numFmtId="0" fontId="2" fillId="5" borderId="84" xfId="0" applyFont="1" applyFill="1" applyBorder="1" applyAlignment="1">
      <alignment horizontal="center" vertical="center"/>
    </xf>
    <xf numFmtId="0" fontId="20" fillId="3" borderId="86" xfId="0" applyFont="1" applyFill="1" applyBorder="1" applyAlignment="1">
      <alignment horizontal="center" vertical="center"/>
    </xf>
    <xf numFmtId="44" fontId="2" fillId="0" borderId="0" xfId="0" applyNumberFormat="1" applyFont="1" applyAlignment="1">
      <alignment vertical="center"/>
    </xf>
    <xf numFmtId="0" fontId="2" fillId="5" borderId="84" xfId="0" applyFont="1" applyFill="1" applyBorder="1" applyAlignment="1">
      <alignment horizontal="center" vertical="center" wrapText="1"/>
    </xf>
    <xf numFmtId="0" fontId="20" fillId="3" borderId="34" xfId="0" applyFont="1" applyFill="1" applyBorder="1" applyAlignment="1">
      <alignment horizontal="center" vertical="center"/>
    </xf>
    <xf numFmtId="44" fontId="2" fillId="0" borderId="19" xfId="0" applyNumberFormat="1" applyFont="1" applyBorder="1" applyAlignment="1">
      <alignment vertical="center"/>
    </xf>
    <xf numFmtId="0" fontId="2" fillId="0" borderId="46" xfId="0" applyFont="1" applyBorder="1"/>
    <xf numFmtId="0" fontId="11" fillId="4" borderId="68" xfId="0" applyFont="1" applyFill="1" applyBorder="1" applyAlignment="1">
      <alignment horizontal="center" vertical="center"/>
    </xf>
    <xf numFmtId="0" fontId="1" fillId="5" borderId="69" xfId="0" applyFont="1" applyFill="1" applyBorder="1" applyAlignment="1">
      <alignment horizontal="center" vertical="center"/>
    </xf>
    <xf numFmtId="165" fontId="2" fillId="5" borderId="70" xfId="0" applyNumberFormat="1" applyFont="1" applyFill="1" applyBorder="1" applyAlignment="1">
      <alignment horizontal="center" vertical="center"/>
    </xf>
    <xf numFmtId="165" fontId="2" fillId="5" borderId="71" xfId="0" applyNumberFormat="1" applyFont="1" applyFill="1" applyBorder="1" applyAlignment="1">
      <alignment horizontal="center" vertical="center"/>
    </xf>
    <xf numFmtId="0" fontId="2" fillId="3" borderId="74" xfId="0" applyFont="1" applyFill="1" applyBorder="1" applyAlignment="1">
      <alignment vertical="center"/>
    </xf>
    <xf numFmtId="44" fontId="1" fillId="5" borderId="38" xfId="0" applyNumberFormat="1" applyFont="1" applyFill="1" applyBorder="1" applyAlignment="1">
      <alignment horizontal="right" vertical="center"/>
    </xf>
    <xf numFmtId="44" fontId="2" fillId="0" borderId="38" xfId="0" applyNumberFormat="1" applyFont="1" applyBorder="1" applyAlignment="1">
      <alignment horizontal="right" vertical="center"/>
    </xf>
    <xf numFmtId="44" fontId="2" fillId="0" borderId="38" xfId="0" applyNumberFormat="1" applyFont="1" applyBorder="1" applyAlignment="1">
      <alignment vertical="center"/>
    </xf>
    <xf numFmtId="44" fontId="2" fillId="0" borderId="75" xfId="0" applyNumberFormat="1" applyFont="1" applyBorder="1" applyAlignment="1">
      <alignment vertical="center"/>
    </xf>
    <xf numFmtId="0" fontId="2" fillId="3" borderId="76" xfId="0" applyFont="1" applyFill="1" applyBorder="1" applyAlignment="1">
      <alignment vertical="center"/>
    </xf>
    <xf numFmtId="44" fontId="1" fillId="5" borderId="77" xfId="0" applyNumberFormat="1" applyFont="1" applyFill="1" applyBorder="1" applyAlignment="1">
      <alignment horizontal="right" vertical="center"/>
    </xf>
    <xf numFmtId="44" fontId="2" fillId="0" borderId="77" xfId="0" applyNumberFormat="1" applyFont="1" applyBorder="1" applyAlignment="1">
      <alignment vertical="center"/>
    </xf>
    <xf numFmtId="44" fontId="2" fillId="0" borderId="78" xfId="0" applyNumberFormat="1" applyFont="1" applyBorder="1" applyAlignment="1">
      <alignment vertical="center"/>
    </xf>
    <xf numFmtId="44" fontId="1" fillId="0" borderId="0" xfId="0" applyNumberFormat="1" applyFont="1" applyAlignment="1">
      <alignment horizontal="right" vertical="center"/>
    </xf>
    <xf numFmtId="0" fontId="11" fillId="4" borderId="79" xfId="0" applyFont="1" applyFill="1" applyBorder="1" applyAlignment="1">
      <alignment horizontal="center" vertical="center"/>
    </xf>
    <xf numFmtId="0" fontId="1" fillId="5" borderId="88" xfId="0" applyFont="1" applyFill="1" applyBorder="1" applyAlignment="1">
      <alignment horizontal="center" vertical="center"/>
    </xf>
    <xf numFmtId="165" fontId="2" fillId="5" borderId="80" xfId="0" applyNumberFormat="1" applyFont="1" applyFill="1" applyBorder="1" applyAlignment="1">
      <alignment horizontal="center" vertical="center"/>
    </xf>
    <xf numFmtId="165" fontId="2" fillId="5" borderId="81" xfId="0" applyNumberFormat="1" applyFont="1" applyFill="1" applyBorder="1" applyAlignment="1">
      <alignment horizontal="center" vertical="center"/>
    </xf>
    <xf numFmtId="0" fontId="2" fillId="3" borderId="35" xfId="0" applyFont="1" applyFill="1" applyBorder="1" applyAlignment="1">
      <alignment vertical="center"/>
    </xf>
    <xf numFmtId="44" fontId="1" fillId="5" borderId="36" xfId="0" applyNumberFormat="1" applyFont="1" applyFill="1" applyBorder="1" applyAlignment="1">
      <alignment horizontal="right" vertical="center"/>
    </xf>
    <xf numFmtId="44" fontId="2" fillId="0" borderId="36" xfId="0" applyNumberFormat="1" applyFont="1" applyBorder="1" applyAlignment="1">
      <alignment horizontal="right" vertical="center"/>
    </xf>
    <xf numFmtId="44" fontId="2" fillId="0" borderId="36" xfId="0" applyNumberFormat="1" applyFont="1" applyBorder="1" applyAlignment="1">
      <alignment vertical="center"/>
    </xf>
    <xf numFmtId="44" fontId="2" fillId="0" borderId="25" xfId="0" applyNumberFormat="1" applyFont="1" applyBorder="1" applyAlignment="1">
      <alignment vertical="center"/>
    </xf>
    <xf numFmtId="0" fontId="2" fillId="3" borderId="37" xfId="0" applyFont="1" applyFill="1" applyBorder="1" applyAlignment="1">
      <alignment vertical="center"/>
    </xf>
    <xf numFmtId="44" fontId="2" fillId="0" borderId="29" xfId="0" applyNumberFormat="1" applyFont="1" applyBorder="1" applyAlignment="1">
      <alignment vertical="center"/>
    </xf>
    <xf numFmtId="0" fontId="21" fillId="0" borderId="0" xfId="0" applyFont="1"/>
    <xf numFmtId="0" fontId="23" fillId="3" borderId="15" xfId="0" applyFont="1" applyFill="1" applyBorder="1"/>
    <xf numFmtId="0" fontId="23" fillId="3" borderId="0" xfId="0" applyFont="1" applyFill="1"/>
    <xf numFmtId="44" fontId="23" fillId="3" borderId="0" xfId="0" applyNumberFormat="1" applyFont="1" applyFill="1"/>
    <xf numFmtId="0" fontId="23" fillId="3" borderId="0" xfId="0" applyFont="1" applyFill="1" applyAlignment="1">
      <alignment vertical="center"/>
    </xf>
    <xf numFmtId="0" fontId="24" fillId="3" borderId="0" xfId="0" applyFont="1" applyFill="1"/>
    <xf numFmtId="0" fontId="25" fillId="3" borderId="0" xfId="0" applyFont="1" applyFill="1" applyAlignment="1">
      <alignment horizontal="left"/>
    </xf>
    <xf numFmtId="0" fontId="3" fillId="2" borderId="0" xfId="0" applyFont="1" applyFill="1" applyAlignment="1">
      <alignment horizontal="left" vertical="top" wrapText="1"/>
    </xf>
    <xf numFmtId="44" fontId="22" fillId="7" borderId="89" xfId="0" applyNumberFormat="1" applyFont="1" applyFill="1" applyBorder="1" applyAlignment="1">
      <alignment horizontal="center" vertical="center"/>
    </xf>
    <xf numFmtId="44" fontId="22" fillId="7" borderId="90" xfId="0" applyNumberFormat="1" applyFont="1" applyFill="1" applyBorder="1" applyAlignment="1">
      <alignment horizontal="center" vertical="center"/>
    </xf>
    <xf numFmtId="44" fontId="22" fillId="7" borderId="91" xfId="0" applyNumberFormat="1" applyFont="1" applyFill="1" applyBorder="1" applyAlignment="1">
      <alignment horizontal="center" vertical="center"/>
    </xf>
    <xf numFmtId="0" fontId="2" fillId="0" borderId="19" xfId="0" applyFont="1" applyBorder="1" applyAlignment="1">
      <alignment vertical="center"/>
    </xf>
    <xf numFmtId="0" fontId="2" fillId="5" borderId="27" xfId="0" applyFont="1" applyFill="1" applyBorder="1" applyAlignment="1">
      <alignment vertical="center"/>
    </xf>
    <xf numFmtId="0" fontId="2" fillId="5" borderId="23" xfId="0" applyFont="1" applyFill="1" applyBorder="1" applyAlignment="1">
      <alignment vertical="center"/>
    </xf>
    <xf numFmtId="0" fontId="2" fillId="5" borderId="31" xfId="0" applyFont="1" applyFill="1" applyBorder="1" applyAlignment="1">
      <alignment vertical="center"/>
    </xf>
    <xf numFmtId="0" fontId="2" fillId="0" borderId="44" xfId="0" applyFont="1" applyBorder="1" applyAlignment="1">
      <alignment horizontal="center" vertical="center"/>
    </xf>
    <xf numFmtId="44" fontId="2" fillId="5" borderId="31" xfId="0" applyNumberFormat="1" applyFont="1" applyFill="1" applyBorder="1" applyAlignment="1">
      <alignment horizontal="center" vertical="center"/>
    </xf>
    <xf numFmtId="0" fontId="11" fillId="4" borderId="34" xfId="0" applyFont="1" applyFill="1" applyBorder="1" applyAlignment="1">
      <alignment horizontal="right" vertical="center"/>
    </xf>
    <xf numFmtId="44" fontId="11" fillId="4" borderId="19" xfId="0" applyNumberFormat="1" applyFont="1" applyFill="1" applyBorder="1" applyAlignment="1">
      <alignment horizontal="center" vertical="center"/>
    </xf>
    <xf numFmtId="0" fontId="1" fillId="3" borderId="19" xfId="0" applyFont="1" applyFill="1" applyBorder="1" applyAlignment="1">
      <alignment horizontal="center" vertical="center"/>
    </xf>
    <xf numFmtId="0" fontId="2" fillId="0" borderId="37" xfId="0" applyFont="1" applyBorder="1" applyAlignment="1">
      <alignment horizontal="left" vertical="center"/>
    </xf>
    <xf numFmtId="44" fontId="2" fillId="5" borderId="27" xfId="0" applyNumberFormat="1" applyFont="1" applyFill="1" applyBorder="1" applyAlignment="1">
      <alignment horizontal="center" vertical="center"/>
    </xf>
    <xf numFmtId="0" fontId="2" fillId="0" borderId="39" xfId="0" applyFont="1" applyBorder="1" applyAlignment="1">
      <alignment horizontal="center" vertical="center"/>
    </xf>
    <xf numFmtId="44" fontId="2" fillId="5" borderId="42" xfId="0" applyNumberFormat="1" applyFont="1" applyFill="1" applyBorder="1" applyAlignment="1">
      <alignment horizontal="center" vertical="center"/>
    </xf>
    <xf numFmtId="0" fontId="1" fillId="3" borderId="34" xfId="0" applyFont="1" applyFill="1" applyBorder="1" applyAlignment="1">
      <alignment horizontal="center" vertical="center"/>
    </xf>
    <xf numFmtId="0" fontId="2" fillId="0" borderId="35" xfId="0" applyFont="1" applyBorder="1" applyAlignment="1">
      <alignment horizontal="left" vertical="center"/>
    </xf>
    <xf numFmtId="44" fontId="2" fillId="5" borderId="23" xfId="0" applyNumberFormat="1" applyFont="1" applyFill="1" applyBorder="1" applyAlignment="1">
      <alignment horizontal="center" vertical="center"/>
    </xf>
    <xf numFmtId="0" fontId="2" fillId="0" borderId="27" xfId="0" applyFont="1" applyBorder="1" applyAlignment="1">
      <alignment vertical="center"/>
    </xf>
    <xf numFmtId="0" fontId="2" fillId="0" borderId="31" xfId="0" applyFont="1" applyBorder="1" applyAlignment="1">
      <alignment vertical="center"/>
    </xf>
    <xf numFmtId="0" fontId="9" fillId="4" borderId="16" xfId="0" applyFont="1" applyFill="1" applyBorder="1" applyAlignment="1">
      <alignment horizontal="center"/>
    </xf>
    <xf numFmtId="0" fontId="2" fillId="0" borderId="23" xfId="0" applyFont="1" applyBorder="1" applyAlignment="1">
      <alignment vertical="center"/>
    </xf>
    <xf numFmtId="0" fontId="16" fillId="6" borderId="0" xfId="0" applyFont="1" applyFill="1" applyAlignment="1">
      <alignment horizontal="center" vertical="center"/>
    </xf>
    <xf numFmtId="0" fontId="18" fillId="4" borderId="67" xfId="0" applyFont="1" applyFill="1" applyBorder="1" applyAlignment="1">
      <alignment horizontal="center" vertical="center" textRotation="90"/>
    </xf>
    <xf numFmtId="0" fontId="15" fillId="0" borderId="0" xfId="0" applyFont="1" applyAlignment="1">
      <alignment horizontal="left" vertical="center"/>
    </xf>
    <xf numFmtId="14" fontId="2" fillId="3" borderId="56" xfId="0" applyNumberFormat="1" applyFont="1" applyFill="1" applyBorder="1" applyAlignment="1">
      <alignment horizontal="left" vertical="center"/>
    </xf>
    <xf numFmtId="0" fontId="2" fillId="3" borderId="56" xfId="0" applyFont="1" applyFill="1" applyBorder="1" applyAlignment="1">
      <alignment horizontal="left" vertical="center"/>
    </xf>
    <xf numFmtId="164" fontId="2" fillId="3" borderId="56" xfId="0" applyNumberFormat="1" applyFont="1" applyFill="1" applyBorder="1" applyAlignment="1">
      <alignment horizontal="left" vertical="center"/>
    </xf>
    <xf numFmtId="44" fontId="1" fillId="3" borderId="56" xfId="0" applyNumberFormat="1" applyFont="1" applyFill="1" applyBorder="1" applyAlignment="1">
      <alignment vertical="center"/>
    </xf>
    <xf numFmtId="0" fontId="16" fillId="4" borderId="84" xfId="0" applyFont="1" applyFill="1" applyBorder="1" applyAlignment="1">
      <alignment horizontal="center" vertical="center"/>
    </xf>
    <xf numFmtId="44" fontId="1" fillId="3" borderId="19" xfId="0" applyNumberFormat="1" applyFont="1" applyFill="1" applyBorder="1" applyAlignment="1">
      <alignment vertical="center"/>
    </xf>
    <xf numFmtId="44" fontId="1" fillId="3" borderId="0" xfId="0" applyNumberFormat="1" applyFont="1" applyFill="1" applyAlignment="1">
      <alignment vertical="center"/>
    </xf>
    <xf numFmtId="0" fontId="0" fillId="0" borderId="0" xfId="0" applyAlignment="1"/>
    <xf numFmtId="0" fontId="10" fillId="0" borderId="17" xfId="0" applyFont="1" applyBorder="1" applyAlignment="1"/>
    <xf numFmtId="0" fontId="10" fillId="0" borderId="18" xfId="0" applyFont="1" applyBorder="1" applyAlignment="1"/>
    <xf numFmtId="0" fontId="10" fillId="0" borderId="21" xfId="0" applyFont="1" applyBorder="1" applyAlignment="1"/>
    <xf numFmtId="0" fontId="10" fillId="0" borderId="24" xfId="0" applyFont="1" applyBorder="1" applyAlignment="1"/>
    <xf numFmtId="0" fontId="10" fillId="0" borderId="25" xfId="0" applyFont="1" applyBorder="1" applyAlignment="1"/>
    <xf numFmtId="0" fontId="10" fillId="0" borderId="28" xfId="0" applyFont="1" applyBorder="1" applyAlignment="1"/>
    <xf numFmtId="0" fontId="10" fillId="0" borderId="29" xfId="0" applyFont="1" applyBorder="1" applyAlignment="1"/>
    <xf numFmtId="0" fontId="10" fillId="0" borderId="32" xfId="0" applyFont="1" applyBorder="1" applyAlignment="1"/>
    <xf numFmtId="0" fontId="10" fillId="0" borderId="33" xfId="0" applyFont="1" applyBorder="1" applyAlignment="1"/>
    <xf numFmtId="0" fontId="10" fillId="0" borderId="19" xfId="0" applyFont="1" applyBorder="1" applyAlignment="1"/>
    <xf numFmtId="0" fontId="10" fillId="0" borderId="36" xfId="0" applyFont="1" applyBorder="1" applyAlignment="1"/>
    <xf numFmtId="0" fontId="10" fillId="0" borderId="38" xfId="0" applyFont="1" applyBorder="1" applyAlignment="1"/>
    <xf numFmtId="0" fontId="10" fillId="0" borderId="40" xfId="0" applyFont="1" applyBorder="1" applyAlignment="1"/>
    <xf numFmtId="0" fontId="10" fillId="0" borderId="41" xfId="0" applyFont="1" applyBorder="1" applyAlignment="1"/>
    <xf numFmtId="0" fontId="10" fillId="0" borderId="43" xfId="0" applyFont="1" applyBorder="1" applyAlignment="1"/>
    <xf numFmtId="0" fontId="10" fillId="0" borderId="45" xfId="0" applyFont="1" applyBorder="1" applyAlignment="1"/>
    <xf numFmtId="0" fontId="10" fillId="0" borderId="57" xfId="0" applyFont="1" applyBorder="1" applyAlignment="1"/>
    <xf numFmtId="0" fontId="10" fillId="0" borderId="72" xfId="0" applyFont="1" applyBorder="1" applyAlignment="1"/>
    <xf numFmtId="0" fontId="10" fillId="0" borderId="85" xfId="0" applyFont="1" applyBorder="1" applyAlignment="1"/>
    <xf numFmtId="0" fontId="10" fillId="0" borderId="87" xfId="0" applyFont="1" applyBorder="1" applyAlignment="1"/>
  </cellXfs>
  <cellStyles count="1">
    <cellStyle name="Normal" xfId="0" builtinId="0"/>
  </cellStyles>
  <dxfs count="0"/>
  <tableStyles count="0" defaultTableStyle="TableStyleMedium2" defaultPivotStyle="PivotStyleLight16"/>
  <colors>
    <mruColors>
      <color rgb="FFF3F0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PH" b="1">
                <a:solidFill>
                  <a:schemeClr val="tx1"/>
                </a:solidFill>
              </a:rPr>
              <a:t>Cost Breakdown Structure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val>
            <c:numRef>
              <c:f>'Residential Construction Budget'!$J$14:$J$25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275D-486B-B0ED-ED7AE5252528}"/>
            </c:ext>
          </c:extLst>
        </c:ser>
        <c:ser>
          <c:idx val="1"/>
          <c:order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val>
            <c:numRef>
              <c:f>'Residential Construction Budget'!$K$14:$K$25</c:f>
              <c:numCache>
                <c:formatCode>General</c:formatCode>
                <c:ptCount val="12"/>
                <c:pt idx="0" formatCode="_(&quot;$&quot;* #,##0.00_);_(&quot;$&quot;* \(#,##0.00\);_(&quot;$&quot;* &quot;-&quot;??_);_(@_)">
                  <c:v>12600</c:v>
                </c:pt>
                <c:pt idx="1">
                  <c:v>11100</c:v>
                </c:pt>
                <c:pt idx="2">
                  <c:v>7300</c:v>
                </c:pt>
                <c:pt idx="3">
                  <c:v>7600</c:v>
                </c:pt>
                <c:pt idx="4">
                  <c:v>7000</c:v>
                </c:pt>
                <c:pt idx="5">
                  <c:v>7800</c:v>
                </c:pt>
                <c:pt idx="6">
                  <c:v>7000</c:v>
                </c:pt>
                <c:pt idx="7">
                  <c:v>8400</c:v>
                </c:pt>
                <c:pt idx="8">
                  <c:v>12000</c:v>
                </c:pt>
                <c:pt idx="9">
                  <c:v>11100</c:v>
                </c:pt>
                <c:pt idx="10">
                  <c:v>0</c:v>
                </c:pt>
                <c:pt idx="11">
                  <c:v>0</c:v>
                </c:pt>
              </c:numCache>
            </c:numRef>
          </c:val>
          <c:extLst>
            <c:ext xmlns:c16="http://schemas.microsoft.com/office/drawing/2014/chart" uri="{C3380CC4-5D6E-409C-BE32-E72D297353CC}">
              <c16:uniqueId val="{00000001-275D-486B-B0ED-ED7AE5252528}"/>
            </c:ext>
          </c:extLst>
        </c:ser>
        <c:dLbls>
          <c:showLegendKey val="0"/>
          <c:showVal val="0"/>
          <c:showCatName val="0"/>
          <c:showSerName val="0"/>
          <c:showPercent val="0"/>
          <c:showBubbleSize val="0"/>
        </c:dLbls>
        <c:gapWidth val="100"/>
        <c:axId val="1114302224"/>
        <c:axId val="1114305136"/>
      </c:barChart>
      <c:catAx>
        <c:axId val="111430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4305136"/>
        <c:crosses val="autoZero"/>
        <c:auto val="1"/>
        <c:lblAlgn val="ctr"/>
        <c:lblOffset val="100"/>
        <c:noMultiLvlLbl val="0"/>
      </c:catAx>
      <c:valAx>
        <c:axId val="1114305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4302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PH"/>
              <a:t>Cash Flow Projection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'Residential Construction Budget'!$J$37:$J$48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'Residential Construction Budget'!$L$37:$L$48</c:f>
              <c:numCache>
                <c:formatCode>_("$"* #,##0.00_);_("$"* \(#,##0.00\);_("$"* "-"??_);_(@_)</c:formatCode>
                <c:ptCount val="12"/>
                <c:pt idx="0">
                  <c:v>0</c:v>
                </c:pt>
                <c:pt idx="1">
                  <c:v>15000</c:v>
                </c:pt>
                <c:pt idx="2">
                  <c:v>13000</c:v>
                </c:pt>
                <c:pt idx="3">
                  <c:v>0</c:v>
                </c:pt>
                <c:pt idx="4">
                  <c:v>10000</c:v>
                </c:pt>
                <c:pt idx="5">
                  <c:v>0</c:v>
                </c:pt>
                <c:pt idx="6">
                  <c:v>5000</c:v>
                </c:pt>
                <c:pt idx="7">
                  <c:v>6000</c:v>
                </c:pt>
                <c:pt idx="8">
                  <c:v>8000</c:v>
                </c:pt>
                <c:pt idx="9">
                  <c:v>2000</c:v>
                </c:pt>
                <c:pt idx="10">
                  <c:v>1000</c:v>
                </c:pt>
                <c:pt idx="11">
                  <c:v>10000</c:v>
                </c:pt>
              </c:numCache>
            </c:numRef>
          </c:val>
          <c:extLst>
            <c:ext xmlns:c16="http://schemas.microsoft.com/office/drawing/2014/chart" uri="{C3380CC4-5D6E-409C-BE32-E72D297353CC}">
              <c16:uniqueId val="{00000000-73C2-4F33-9544-1CE1A87DD3A0}"/>
            </c:ext>
          </c:extLst>
        </c:ser>
        <c:dLbls>
          <c:showLegendKey val="0"/>
          <c:showVal val="0"/>
          <c:showCatName val="0"/>
          <c:showSerName val="0"/>
          <c:showPercent val="0"/>
          <c:showBubbleSize val="0"/>
        </c:dLbls>
        <c:axId val="887849888"/>
        <c:axId val="887839488"/>
      </c:areaChart>
      <c:catAx>
        <c:axId val="88784988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839488"/>
        <c:crosses val="autoZero"/>
        <c:auto val="1"/>
        <c:lblAlgn val="ctr"/>
        <c:lblOffset val="100"/>
        <c:noMultiLvlLbl val="0"/>
      </c:catAx>
      <c:valAx>
        <c:axId val="8878394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849888"/>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000000"/>
                </a:solidFill>
                <a:latin typeface="sans-serif"/>
              </a:defRPr>
            </a:pPr>
            <a:r>
              <a:rPr lang="en-PH" b="1">
                <a:solidFill>
                  <a:srgbClr val="000000"/>
                </a:solidFill>
                <a:latin typeface="sans-serif"/>
              </a:rPr>
              <a:t>Labor</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5891AD"/>
              </a:solidFill>
            </c:spPr>
            <c:extLst>
              <c:ext xmlns:c16="http://schemas.microsoft.com/office/drawing/2014/chart" uri="{C3380CC4-5D6E-409C-BE32-E72D297353CC}">
                <c16:uniqueId val="{00000001-D9F9-409F-8682-825A69B97529}"/>
              </c:ext>
            </c:extLst>
          </c:dPt>
          <c:dPt>
            <c:idx val="1"/>
            <c:bubble3D val="0"/>
            <c:spPr>
              <a:solidFill>
                <a:srgbClr val="004561"/>
              </a:solidFill>
            </c:spPr>
            <c:extLst>
              <c:ext xmlns:c16="http://schemas.microsoft.com/office/drawing/2014/chart" uri="{C3380CC4-5D6E-409C-BE32-E72D297353CC}">
                <c16:uniqueId val="{00000003-D9F9-409F-8682-825A69B97529}"/>
              </c:ext>
            </c:extLst>
          </c:dPt>
          <c:dPt>
            <c:idx val="2"/>
            <c:bubble3D val="0"/>
            <c:spPr>
              <a:solidFill>
                <a:srgbClr val="FF6F31"/>
              </a:solidFill>
            </c:spPr>
            <c:extLst>
              <c:ext xmlns:c16="http://schemas.microsoft.com/office/drawing/2014/chart" uri="{C3380CC4-5D6E-409C-BE32-E72D297353CC}">
                <c16:uniqueId val="{00000005-D9F9-409F-8682-825A69B97529}"/>
              </c:ext>
            </c:extLst>
          </c:dPt>
          <c:dPt>
            <c:idx val="3"/>
            <c:bubble3D val="0"/>
            <c:spPr>
              <a:solidFill>
                <a:srgbClr val="1C7685"/>
              </a:solidFill>
            </c:spPr>
            <c:extLst>
              <c:ext xmlns:c16="http://schemas.microsoft.com/office/drawing/2014/chart" uri="{C3380CC4-5D6E-409C-BE32-E72D297353CC}">
                <c16:uniqueId val="{00000007-D9F9-409F-8682-825A69B97529}"/>
              </c:ext>
            </c:extLst>
          </c:dPt>
          <c:dPt>
            <c:idx val="4"/>
            <c:bubble3D val="0"/>
            <c:spPr>
              <a:solidFill>
                <a:srgbClr val="0F45A8"/>
              </a:solidFill>
            </c:spPr>
            <c:extLst>
              <c:ext xmlns:c16="http://schemas.microsoft.com/office/drawing/2014/chart" uri="{C3380CC4-5D6E-409C-BE32-E72D297353CC}">
                <c16:uniqueId val="{00000009-D9F9-409F-8682-825A69B97529}"/>
              </c:ext>
            </c:extLst>
          </c:dPt>
          <c:dPt>
            <c:idx val="5"/>
            <c:bubble3D val="0"/>
            <c:spPr>
              <a:solidFill>
                <a:srgbClr val="4CDC8B"/>
              </a:solidFill>
            </c:spPr>
            <c:extLst>
              <c:ext xmlns:c16="http://schemas.microsoft.com/office/drawing/2014/chart" uri="{C3380CC4-5D6E-409C-BE32-E72D297353CC}">
                <c16:uniqueId val="{0000000B-D9F9-409F-8682-825A69B97529}"/>
              </c:ext>
            </c:extLst>
          </c:dPt>
          <c:dPt>
            <c:idx val="6"/>
            <c:bubble3D val="0"/>
            <c:spPr>
              <a:solidFill>
                <a:srgbClr val="8AB2C6"/>
              </a:solidFill>
            </c:spPr>
            <c:extLst>
              <c:ext xmlns:c16="http://schemas.microsoft.com/office/drawing/2014/chart" uri="{C3380CC4-5D6E-409C-BE32-E72D297353CC}">
                <c16:uniqueId val="{0000000D-D9F9-409F-8682-825A69B97529}"/>
              </c:ext>
            </c:extLst>
          </c:dPt>
          <c:dPt>
            <c:idx val="7"/>
            <c:bubble3D val="0"/>
            <c:spPr>
              <a:solidFill>
                <a:srgbClr val="4D7D90"/>
              </a:solidFill>
            </c:spPr>
            <c:extLst>
              <c:ext xmlns:c16="http://schemas.microsoft.com/office/drawing/2014/chart" uri="{C3380CC4-5D6E-409C-BE32-E72D297353CC}">
                <c16:uniqueId val="{0000000F-D9F9-409F-8682-825A69B97529}"/>
              </c:ext>
            </c:extLst>
          </c:dPt>
          <c:dPt>
            <c:idx val="8"/>
            <c:bubble3D val="0"/>
            <c:spPr>
              <a:solidFill>
                <a:srgbClr val="FF9A6F"/>
              </a:solidFill>
            </c:spPr>
            <c:extLst>
              <c:ext xmlns:c16="http://schemas.microsoft.com/office/drawing/2014/chart" uri="{C3380CC4-5D6E-409C-BE32-E72D297353CC}">
                <c16:uniqueId val="{00000011-D9F9-409F-8682-825A69B97529}"/>
              </c:ext>
            </c:extLst>
          </c:dPt>
          <c:dPt>
            <c:idx val="9"/>
            <c:bubble3D val="0"/>
            <c:spPr>
              <a:solidFill>
                <a:srgbClr val="609FAA"/>
              </a:solidFill>
            </c:spPr>
            <c:extLst>
              <c:ext xmlns:c16="http://schemas.microsoft.com/office/drawing/2014/chart" uri="{C3380CC4-5D6E-409C-BE32-E72D297353CC}">
                <c16:uniqueId val="{00000013-D9F9-409F-8682-825A69B97529}"/>
              </c:ext>
            </c:extLst>
          </c:dPt>
          <c:dPt>
            <c:idx val="10"/>
            <c:bubble3D val="0"/>
            <c:extLst>
              <c:ext xmlns:c16="http://schemas.microsoft.com/office/drawing/2014/chart" uri="{C3380CC4-5D6E-409C-BE32-E72D297353CC}">
                <c16:uniqueId val="{00000014-D9F9-409F-8682-825A69B97529}"/>
              </c:ext>
            </c:extLst>
          </c:dPt>
          <c:cat>
            <c:strRef>
              <c:f>'Cost Breakdown Structure'!$C$18:$C$28</c:f>
              <c:strCache>
                <c:ptCount val="10"/>
                <c:pt idx="0">
                  <c:v>Excavation</c:v>
                </c:pt>
                <c:pt idx="1">
                  <c:v>Foundation</c:v>
                </c:pt>
                <c:pt idx="2">
                  <c:v>Framing</c:v>
                </c:pt>
                <c:pt idx="3">
                  <c:v>Roofing</c:v>
                </c:pt>
                <c:pt idx="4">
                  <c:v>Plumbing</c:v>
                </c:pt>
                <c:pt idx="5">
                  <c:v>Electrical</c:v>
                </c:pt>
                <c:pt idx="6">
                  <c:v>HVAC</c:v>
                </c:pt>
                <c:pt idx="7">
                  <c:v>Insulation</c:v>
                </c:pt>
                <c:pt idx="8">
                  <c:v>Drywall</c:v>
                </c:pt>
                <c:pt idx="9">
                  <c:v>Flooring</c:v>
                </c:pt>
              </c:strCache>
            </c:strRef>
          </c:cat>
          <c:val>
            <c:numRef>
              <c:f>'Cost Breakdown Structure'!$D$18:$D$28</c:f>
              <c:numCache>
                <c:formatCode>_("$"* #,##0.00_);_("$"* \(#,##0.00\);_("$"* "-"??_);_(@_)</c:formatCode>
                <c:ptCount val="11"/>
                <c:pt idx="0">
                  <c:v>4300</c:v>
                </c:pt>
                <c:pt idx="1">
                  <c:v>4100</c:v>
                </c:pt>
                <c:pt idx="2">
                  <c:v>3800</c:v>
                </c:pt>
                <c:pt idx="3">
                  <c:v>3400</c:v>
                </c:pt>
                <c:pt idx="4">
                  <c:v>3500</c:v>
                </c:pt>
                <c:pt idx="5">
                  <c:v>4300</c:v>
                </c:pt>
                <c:pt idx="6">
                  <c:v>3500</c:v>
                </c:pt>
                <c:pt idx="7">
                  <c:v>3500</c:v>
                </c:pt>
                <c:pt idx="8">
                  <c:v>4200</c:v>
                </c:pt>
                <c:pt idx="9">
                  <c:v>3500</c:v>
                </c:pt>
              </c:numCache>
            </c:numRef>
          </c:val>
          <c:extLst>
            <c:ext xmlns:c16="http://schemas.microsoft.com/office/drawing/2014/chart" uri="{C3380CC4-5D6E-409C-BE32-E72D297353CC}">
              <c16:uniqueId val="{00000015-D9F9-409F-8682-825A69B97529}"/>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sans-serif"/>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000000"/>
                </a:solidFill>
                <a:latin typeface="+mn-lt"/>
              </a:defRPr>
            </a:pPr>
            <a:r>
              <a:rPr lang="en-PH" b="1">
                <a:solidFill>
                  <a:srgbClr val="000000"/>
                </a:solidFill>
                <a:latin typeface="+mn-lt"/>
              </a:rPr>
              <a:t>Materials</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5891AD"/>
              </a:solidFill>
            </c:spPr>
            <c:extLst>
              <c:ext xmlns:c16="http://schemas.microsoft.com/office/drawing/2014/chart" uri="{C3380CC4-5D6E-409C-BE32-E72D297353CC}">
                <c16:uniqueId val="{00000001-1E20-4F84-9CC3-5F966EBE8598}"/>
              </c:ext>
            </c:extLst>
          </c:dPt>
          <c:dPt>
            <c:idx val="1"/>
            <c:bubble3D val="0"/>
            <c:spPr>
              <a:solidFill>
                <a:srgbClr val="004561"/>
              </a:solidFill>
            </c:spPr>
            <c:extLst>
              <c:ext xmlns:c16="http://schemas.microsoft.com/office/drawing/2014/chart" uri="{C3380CC4-5D6E-409C-BE32-E72D297353CC}">
                <c16:uniqueId val="{00000003-1E20-4F84-9CC3-5F966EBE8598}"/>
              </c:ext>
            </c:extLst>
          </c:dPt>
          <c:dPt>
            <c:idx val="2"/>
            <c:bubble3D val="0"/>
            <c:spPr>
              <a:solidFill>
                <a:srgbClr val="FF6F31"/>
              </a:solidFill>
            </c:spPr>
            <c:extLst>
              <c:ext xmlns:c16="http://schemas.microsoft.com/office/drawing/2014/chart" uri="{C3380CC4-5D6E-409C-BE32-E72D297353CC}">
                <c16:uniqueId val="{00000005-1E20-4F84-9CC3-5F966EBE8598}"/>
              </c:ext>
            </c:extLst>
          </c:dPt>
          <c:dPt>
            <c:idx val="3"/>
            <c:bubble3D val="0"/>
            <c:spPr>
              <a:solidFill>
                <a:srgbClr val="1C7685"/>
              </a:solidFill>
            </c:spPr>
            <c:extLst>
              <c:ext xmlns:c16="http://schemas.microsoft.com/office/drawing/2014/chart" uri="{C3380CC4-5D6E-409C-BE32-E72D297353CC}">
                <c16:uniqueId val="{00000007-1E20-4F84-9CC3-5F966EBE8598}"/>
              </c:ext>
            </c:extLst>
          </c:dPt>
          <c:dPt>
            <c:idx val="4"/>
            <c:bubble3D val="0"/>
            <c:spPr>
              <a:solidFill>
                <a:srgbClr val="0F45A8"/>
              </a:solidFill>
            </c:spPr>
            <c:extLst>
              <c:ext xmlns:c16="http://schemas.microsoft.com/office/drawing/2014/chart" uri="{C3380CC4-5D6E-409C-BE32-E72D297353CC}">
                <c16:uniqueId val="{00000009-1E20-4F84-9CC3-5F966EBE8598}"/>
              </c:ext>
            </c:extLst>
          </c:dPt>
          <c:dPt>
            <c:idx val="5"/>
            <c:bubble3D val="0"/>
            <c:spPr>
              <a:solidFill>
                <a:srgbClr val="4CDC8B"/>
              </a:solidFill>
            </c:spPr>
            <c:extLst>
              <c:ext xmlns:c16="http://schemas.microsoft.com/office/drawing/2014/chart" uri="{C3380CC4-5D6E-409C-BE32-E72D297353CC}">
                <c16:uniqueId val="{0000000B-1E20-4F84-9CC3-5F966EBE8598}"/>
              </c:ext>
            </c:extLst>
          </c:dPt>
          <c:dPt>
            <c:idx val="6"/>
            <c:bubble3D val="0"/>
            <c:spPr>
              <a:solidFill>
                <a:srgbClr val="8AB2C6"/>
              </a:solidFill>
            </c:spPr>
            <c:extLst>
              <c:ext xmlns:c16="http://schemas.microsoft.com/office/drawing/2014/chart" uri="{C3380CC4-5D6E-409C-BE32-E72D297353CC}">
                <c16:uniqueId val="{0000000D-1E20-4F84-9CC3-5F966EBE8598}"/>
              </c:ext>
            </c:extLst>
          </c:dPt>
          <c:dPt>
            <c:idx val="7"/>
            <c:bubble3D val="0"/>
            <c:spPr>
              <a:solidFill>
                <a:srgbClr val="4D7D90"/>
              </a:solidFill>
            </c:spPr>
            <c:extLst>
              <c:ext xmlns:c16="http://schemas.microsoft.com/office/drawing/2014/chart" uri="{C3380CC4-5D6E-409C-BE32-E72D297353CC}">
                <c16:uniqueId val="{0000000F-1E20-4F84-9CC3-5F966EBE8598}"/>
              </c:ext>
            </c:extLst>
          </c:dPt>
          <c:dPt>
            <c:idx val="8"/>
            <c:bubble3D val="0"/>
            <c:spPr>
              <a:solidFill>
                <a:srgbClr val="FF9A6F"/>
              </a:solidFill>
            </c:spPr>
            <c:extLst>
              <c:ext xmlns:c16="http://schemas.microsoft.com/office/drawing/2014/chart" uri="{C3380CC4-5D6E-409C-BE32-E72D297353CC}">
                <c16:uniqueId val="{00000011-1E20-4F84-9CC3-5F966EBE8598}"/>
              </c:ext>
            </c:extLst>
          </c:dPt>
          <c:dPt>
            <c:idx val="9"/>
            <c:bubble3D val="0"/>
            <c:spPr>
              <a:solidFill>
                <a:srgbClr val="609FAA"/>
              </a:solidFill>
            </c:spPr>
            <c:extLst>
              <c:ext xmlns:c16="http://schemas.microsoft.com/office/drawing/2014/chart" uri="{C3380CC4-5D6E-409C-BE32-E72D297353CC}">
                <c16:uniqueId val="{00000013-1E20-4F84-9CC3-5F966EBE8598}"/>
              </c:ext>
            </c:extLst>
          </c:dPt>
          <c:dPt>
            <c:idx val="10"/>
            <c:bubble3D val="0"/>
            <c:extLst>
              <c:ext xmlns:c16="http://schemas.microsoft.com/office/drawing/2014/chart" uri="{C3380CC4-5D6E-409C-BE32-E72D297353CC}">
                <c16:uniqueId val="{00000014-1E20-4F84-9CC3-5F966EBE8598}"/>
              </c:ext>
            </c:extLst>
          </c:dPt>
          <c:cat>
            <c:strRef>
              <c:f>'Cost Breakdown Structure'!$C$30:$C$40</c:f>
              <c:strCache>
                <c:ptCount val="10"/>
                <c:pt idx="0">
                  <c:v>Excavation</c:v>
                </c:pt>
                <c:pt idx="1">
                  <c:v>Foundation</c:v>
                </c:pt>
                <c:pt idx="2">
                  <c:v>Framing</c:v>
                </c:pt>
                <c:pt idx="3">
                  <c:v>Roofing</c:v>
                </c:pt>
                <c:pt idx="4">
                  <c:v>Plumbing</c:v>
                </c:pt>
                <c:pt idx="5">
                  <c:v>Electrical</c:v>
                </c:pt>
                <c:pt idx="6">
                  <c:v>HVAC</c:v>
                </c:pt>
                <c:pt idx="7">
                  <c:v>Insulation</c:v>
                </c:pt>
                <c:pt idx="8">
                  <c:v>Drywall</c:v>
                </c:pt>
                <c:pt idx="9">
                  <c:v>Flooring</c:v>
                </c:pt>
              </c:strCache>
            </c:strRef>
          </c:cat>
          <c:val>
            <c:numRef>
              <c:f>'Cost Breakdown Structure'!$D$30:$D$40</c:f>
              <c:numCache>
                <c:formatCode>_("$"* #,##0.00_);_("$"* \(#,##0.00\);_("$"* "-"??_);_(@_)</c:formatCode>
                <c:ptCount val="11"/>
                <c:pt idx="0">
                  <c:v>4200</c:v>
                </c:pt>
                <c:pt idx="1">
                  <c:v>3500</c:v>
                </c:pt>
                <c:pt idx="2">
                  <c:v>0</c:v>
                </c:pt>
                <c:pt idx="3">
                  <c:v>0</c:v>
                </c:pt>
                <c:pt idx="4">
                  <c:v>0</c:v>
                </c:pt>
                <c:pt idx="5">
                  <c:v>0</c:v>
                </c:pt>
                <c:pt idx="6">
                  <c:v>0</c:v>
                </c:pt>
                <c:pt idx="7">
                  <c:v>600</c:v>
                </c:pt>
                <c:pt idx="8">
                  <c:v>4300</c:v>
                </c:pt>
                <c:pt idx="9">
                  <c:v>3500</c:v>
                </c:pt>
              </c:numCache>
            </c:numRef>
          </c:val>
          <c:extLst>
            <c:ext xmlns:c16="http://schemas.microsoft.com/office/drawing/2014/chart" uri="{C3380CC4-5D6E-409C-BE32-E72D297353CC}">
              <c16:uniqueId val="{00000015-1E20-4F84-9CC3-5F966EBE8598}"/>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434343"/>
                </a:solidFill>
                <a:latin typeface="sans-serif"/>
              </a:defRPr>
            </a:pPr>
            <a:r>
              <a:rPr lang="en-PH" b="1">
                <a:solidFill>
                  <a:srgbClr val="434343"/>
                </a:solidFill>
                <a:latin typeface="sans-serif"/>
              </a:rPr>
              <a:t>Equipment</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5891AD"/>
              </a:solidFill>
            </c:spPr>
            <c:extLst>
              <c:ext xmlns:c16="http://schemas.microsoft.com/office/drawing/2014/chart" uri="{C3380CC4-5D6E-409C-BE32-E72D297353CC}">
                <c16:uniqueId val="{00000001-BBFB-49D4-9407-BD1C1350049D}"/>
              </c:ext>
            </c:extLst>
          </c:dPt>
          <c:dPt>
            <c:idx val="1"/>
            <c:bubble3D val="0"/>
            <c:spPr>
              <a:solidFill>
                <a:srgbClr val="004561"/>
              </a:solidFill>
            </c:spPr>
            <c:extLst>
              <c:ext xmlns:c16="http://schemas.microsoft.com/office/drawing/2014/chart" uri="{C3380CC4-5D6E-409C-BE32-E72D297353CC}">
                <c16:uniqueId val="{00000003-BBFB-49D4-9407-BD1C1350049D}"/>
              </c:ext>
            </c:extLst>
          </c:dPt>
          <c:dPt>
            <c:idx val="2"/>
            <c:bubble3D val="0"/>
            <c:spPr>
              <a:solidFill>
                <a:srgbClr val="FF6F31"/>
              </a:solidFill>
            </c:spPr>
            <c:extLst>
              <c:ext xmlns:c16="http://schemas.microsoft.com/office/drawing/2014/chart" uri="{C3380CC4-5D6E-409C-BE32-E72D297353CC}">
                <c16:uniqueId val="{00000005-BBFB-49D4-9407-BD1C1350049D}"/>
              </c:ext>
            </c:extLst>
          </c:dPt>
          <c:dPt>
            <c:idx val="3"/>
            <c:bubble3D val="0"/>
            <c:spPr>
              <a:solidFill>
                <a:srgbClr val="1C7685"/>
              </a:solidFill>
            </c:spPr>
            <c:extLst>
              <c:ext xmlns:c16="http://schemas.microsoft.com/office/drawing/2014/chart" uri="{C3380CC4-5D6E-409C-BE32-E72D297353CC}">
                <c16:uniqueId val="{00000007-BBFB-49D4-9407-BD1C1350049D}"/>
              </c:ext>
            </c:extLst>
          </c:dPt>
          <c:dPt>
            <c:idx val="4"/>
            <c:bubble3D val="0"/>
            <c:spPr>
              <a:solidFill>
                <a:srgbClr val="0F45A8"/>
              </a:solidFill>
            </c:spPr>
            <c:extLst>
              <c:ext xmlns:c16="http://schemas.microsoft.com/office/drawing/2014/chart" uri="{C3380CC4-5D6E-409C-BE32-E72D297353CC}">
                <c16:uniqueId val="{00000009-BBFB-49D4-9407-BD1C1350049D}"/>
              </c:ext>
            </c:extLst>
          </c:dPt>
          <c:dPt>
            <c:idx val="5"/>
            <c:bubble3D val="0"/>
            <c:spPr>
              <a:solidFill>
                <a:srgbClr val="4CDC8B"/>
              </a:solidFill>
            </c:spPr>
            <c:extLst>
              <c:ext xmlns:c16="http://schemas.microsoft.com/office/drawing/2014/chart" uri="{C3380CC4-5D6E-409C-BE32-E72D297353CC}">
                <c16:uniqueId val="{0000000B-BBFB-49D4-9407-BD1C1350049D}"/>
              </c:ext>
            </c:extLst>
          </c:dPt>
          <c:dPt>
            <c:idx val="6"/>
            <c:bubble3D val="0"/>
            <c:spPr>
              <a:solidFill>
                <a:srgbClr val="8AB2C6"/>
              </a:solidFill>
            </c:spPr>
            <c:extLst>
              <c:ext xmlns:c16="http://schemas.microsoft.com/office/drawing/2014/chart" uri="{C3380CC4-5D6E-409C-BE32-E72D297353CC}">
                <c16:uniqueId val="{0000000D-BBFB-49D4-9407-BD1C1350049D}"/>
              </c:ext>
            </c:extLst>
          </c:dPt>
          <c:dPt>
            <c:idx val="7"/>
            <c:bubble3D val="0"/>
            <c:spPr>
              <a:solidFill>
                <a:srgbClr val="4D7D90"/>
              </a:solidFill>
            </c:spPr>
            <c:extLst>
              <c:ext xmlns:c16="http://schemas.microsoft.com/office/drawing/2014/chart" uri="{C3380CC4-5D6E-409C-BE32-E72D297353CC}">
                <c16:uniqueId val="{0000000F-BBFB-49D4-9407-BD1C1350049D}"/>
              </c:ext>
            </c:extLst>
          </c:dPt>
          <c:dPt>
            <c:idx val="8"/>
            <c:bubble3D val="0"/>
            <c:spPr>
              <a:solidFill>
                <a:srgbClr val="FF9A6F"/>
              </a:solidFill>
            </c:spPr>
            <c:extLst>
              <c:ext xmlns:c16="http://schemas.microsoft.com/office/drawing/2014/chart" uri="{C3380CC4-5D6E-409C-BE32-E72D297353CC}">
                <c16:uniqueId val="{00000011-BBFB-49D4-9407-BD1C1350049D}"/>
              </c:ext>
            </c:extLst>
          </c:dPt>
          <c:dPt>
            <c:idx val="9"/>
            <c:bubble3D val="0"/>
            <c:spPr>
              <a:solidFill>
                <a:srgbClr val="609FAA"/>
              </a:solidFill>
            </c:spPr>
            <c:extLst>
              <c:ext xmlns:c16="http://schemas.microsoft.com/office/drawing/2014/chart" uri="{C3380CC4-5D6E-409C-BE32-E72D297353CC}">
                <c16:uniqueId val="{00000013-BBFB-49D4-9407-BD1C1350049D}"/>
              </c:ext>
            </c:extLst>
          </c:dPt>
          <c:dPt>
            <c:idx val="10"/>
            <c:bubble3D val="0"/>
            <c:extLst>
              <c:ext xmlns:c16="http://schemas.microsoft.com/office/drawing/2014/chart" uri="{C3380CC4-5D6E-409C-BE32-E72D297353CC}">
                <c16:uniqueId val="{00000014-BBFB-49D4-9407-BD1C1350049D}"/>
              </c:ext>
            </c:extLst>
          </c:dPt>
          <c:cat>
            <c:strRef>
              <c:f>'Cost Breakdown Structure'!$C$42:$C$52</c:f>
              <c:strCache>
                <c:ptCount val="10"/>
                <c:pt idx="0">
                  <c:v>Excavation</c:v>
                </c:pt>
                <c:pt idx="1">
                  <c:v>Foundation</c:v>
                </c:pt>
                <c:pt idx="2">
                  <c:v>Framing</c:v>
                </c:pt>
                <c:pt idx="3">
                  <c:v>Roofing</c:v>
                </c:pt>
                <c:pt idx="4">
                  <c:v>Plumbing</c:v>
                </c:pt>
                <c:pt idx="5">
                  <c:v>Electrical</c:v>
                </c:pt>
                <c:pt idx="6">
                  <c:v>HVAC</c:v>
                </c:pt>
                <c:pt idx="7">
                  <c:v>Insulation</c:v>
                </c:pt>
                <c:pt idx="8">
                  <c:v>Drywall</c:v>
                </c:pt>
                <c:pt idx="9">
                  <c:v>Flooring</c:v>
                </c:pt>
              </c:strCache>
            </c:strRef>
          </c:cat>
          <c:val>
            <c:numRef>
              <c:f>'Cost Breakdown Structure'!$D$42:$D$52</c:f>
              <c:numCache>
                <c:formatCode>_("$"* #,##0.00_);_("$"* \(#,##0.00\);_("$"* "-"??_);_(@_)</c:formatCode>
                <c:ptCount val="11"/>
                <c:pt idx="0">
                  <c:v>4100</c:v>
                </c:pt>
                <c:pt idx="1">
                  <c:v>3500</c:v>
                </c:pt>
                <c:pt idx="2">
                  <c:v>3500</c:v>
                </c:pt>
                <c:pt idx="3">
                  <c:v>4200</c:v>
                </c:pt>
                <c:pt idx="4">
                  <c:v>3500</c:v>
                </c:pt>
                <c:pt idx="5">
                  <c:v>3500</c:v>
                </c:pt>
                <c:pt idx="6">
                  <c:v>3500</c:v>
                </c:pt>
                <c:pt idx="7">
                  <c:v>4300</c:v>
                </c:pt>
                <c:pt idx="8">
                  <c:v>3500</c:v>
                </c:pt>
                <c:pt idx="9">
                  <c:v>4100</c:v>
                </c:pt>
              </c:numCache>
            </c:numRef>
          </c:val>
          <c:extLst>
            <c:ext xmlns:c16="http://schemas.microsoft.com/office/drawing/2014/chart" uri="{C3380CC4-5D6E-409C-BE32-E72D297353CC}">
              <c16:uniqueId val="{00000015-BBFB-49D4-9407-BD1C1350049D}"/>
            </c:ext>
          </c:extLst>
        </c:ser>
        <c:dLbls>
          <c:showLegendKey val="0"/>
          <c:showVal val="0"/>
          <c:showCatName val="0"/>
          <c:showSerName val="0"/>
          <c:showPercent val="0"/>
          <c:showBubbleSize val="0"/>
          <c:showLeaderLines val="1"/>
        </c:dLbls>
      </c:pie3D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spPr>
            <a:solidFill>
              <a:srgbClr val="5891AD"/>
            </a:solidFill>
            <a:ln cmpd="sng">
              <a:solidFill>
                <a:srgbClr val="000000"/>
              </a:solidFill>
            </a:ln>
          </c:spPr>
          <c:invertIfNegative val="1"/>
          <c:cat>
            <c:strRef>
              <c:f>'CashFlow Projection'!$B$18:$B$27</c:f>
              <c:strCache>
                <c:ptCount val="5"/>
                <c:pt idx="0">
                  <c:v>Rental</c:v>
                </c:pt>
                <c:pt idx="1">
                  <c:v>Personal Funds</c:v>
                </c:pt>
                <c:pt idx="2">
                  <c:v>Loans</c:v>
                </c:pt>
                <c:pt idx="3">
                  <c:v>Investment</c:v>
                </c:pt>
                <c:pt idx="4">
                  <c:v>Personal Saving</c:v>
                </c:pt>
              </c:strCache>
            </c:strRef>
          </c:cat>
          <c:val>
            <c:numRef>
              <c:f>'CashFlow Projection'!$C$18:$C$27</c:f>
              <c:numCache>
                <c:formatCode>_("$"* #,##0.00_);_("$"* \(#,##0.00\);_("$"* "-"??_);_(@_)</c:formatCode>
                <c:ptCount val="10"/>
                <c:pt idx="0">
                  <c:v>4200</c:v>
                </c:pt>
                <c:pt idx="1">
                  <c:v>3500</c:v>
                </c:pt>
                <c:pt idx="2">
                  <c:v>4100</c:v>
                </c:pt>
                <c:pt idx="3">
                  <c:v>4300</c:v>
                </c:pt>
                <c:pt idx="4">
                  <c:v>3500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52E-40B4-8C4C-FEBD7CFB9E59}"/>
            </c:ext>
          </c:extLst>
        </c:ser>
        <c:dLbls>
          <c:showLegendKey val="0"/>
          <c:showVal val="0"/>
          <c:showCatName val="0"/>
          <c:showSerName val="0"/>
          <c:showPercent val="0"/>
          <c:showBubbleSize val="0"/>
        </c:dLbls>
        <c:gapWidth val="150"/>
        <c:shape val="box"/>
        <c:axId val="760873230"/>
        <c:axId val="19145978"/>
        <c:axId val="0"/>
      </c:bar3DChart>
      <c:catAx>
        <c:axId val="760873230"/>
        <c:scaling>
          <c:orientation val="minMax"/>
        </c:scaling>
        <c:delete val="0"/>
        <c:axPos val="b"/>
        <c:title>
          <c:tx>
            <c:rich>
              <a:bodyPr/>
              <a:lstStyle/>
              <a:p>
                <a:pPr lvl="0">
                  <a:defRPr b="0">
                    <a:solidFill>
                      <a:srgbClr val="000000"/>
                    </a:solidFill>
                    <a:latin typeface="+mn-lt"/>
                  </a:defRPr>
                </a:pPr>
                <a:endParaRPr lang="en-PH"/>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9145978"/>
        <c:crosses val="autoZero"/>
        <c:auto val="1"/>
        <c:lblAlgn val="ctr"/>
        <c:lblOffset val="100"/>
        <c:noMultiLvlLbl val="1"/>
      </c:catAx>
      <c:valAx>
        <c:axId val="191459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PH"/>
              </a:p>
            </c:rich>
          </c:tx>
          <c:overlay val="0"/>
        </c:title>
        <c:numFmt formatCode="_(&quot;$&quot;* #,##0.00_);_(&quot;$&quot;* \(#,##0.00\);_(&quot;$&quot;* &quot;-&quot;??_);_(@_)" sourceLinked="1"/>
        <c:majorTickMark val="none"/>
        <c:minorTickMark val="none"/>
        <c:tickLblPos val="nextTo"/>
        <c:spPr>
          <a:ln/>
        </c:spPr>
        <c:txPr>
          <a:bodyPr/>
          <a:lstStyle/>
          <a:p>
            <a:pPr lvl="0">
              <a:defRPr b="0">
                <a:solidFill>
                  <a:srgbClr val="000000"/>
                </a:solidFill>
                <a:latin typeface="+mn-lt"/>
              </a:defRPr>
            </a:pPr>
            <a:endParaRPr lang="en-US"/>
          </a:p>
        </c:txPr>
        <c:crossAx val="76087323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'CashFlow Projection'!$C$29</c:f>
              <c:strCache>
                <c:ptCount val="1"/>
                <c:pt idx="0">
                  <c:v>TOTAL</c:v>
                </c:pt>
              </c:strCache>
            </c:strRef>
          </c:tx>
          <c:spPr>
            <a:solidFill>
              <a:srgbClr val="5891AD"/>
            </a:solidFill>
            <a:ln cmpd="sng">
              <a:solidFill>
                <a:srgbClr val="000000"/>
              </a:solidFill>
            </a:ln>
          </c:spPr>
          <c:invertIfNegative val="1"/>
          <c:cat>
            <c:strRef>
              <c:f>'CashFlow Projection'!$B$30:$B$39</c:f>
              <c:strCache>
                <c:ptCount val="10"/>
                <c:pt idx="0">
                  <c:v>Materials</c:v>
                </c:pt>
                <c:pt idx="1">
                  <c:v>Labor Cost</c:v>
                </c:pt>
                <c:pt idx="2">
                  <c:v>Permits &amp; Fees</c:v>
                </c:pt>
                <c:pt idx="3">
                  <c:v>Equiptment &amp; Tools</c:v>
                </c:pt>
                <c:pt idx="4">
                  <c:v>Utilities</c:v>
                </c:pt>
                <c:pt idx="5">
                  <c:v>Insurance</c:v>
                </c:pt>
                <c:pt idx="6">
                  <c:v>Professional  Services</c:v>
                </c:pt>
                <c:pt idx="7">
                  <c:v>Marketing &amp; Advertisment</c:v>
                </c:pt>
                <c:pt idx="8">
                  <c:v>Contingency</c:v>
                </c:pt>
                <c:pt idx="9">
                  <c:v>Other Expenses</c:v>
                </c:pt>
              </c:strCache>
            </c:strRef>
          </c:cat>
          <c:val>
            <c:numRef>
              <c:f>'CashFlow Projection'!$C$30:$C$39</c:f>
              <c:numCache>
                <c:formatCode>_("$"* #,##0.00_);_("$"* \(#,##0.00\);_("$"* "-"??_);_(@_)</c:formatCode>
                <c:ptCount val="10"/>
                <c:pt idx="0">
                  <c:v>4200</c:v>
                </c:pt>
                <c:pt idx="1">
                  <c:v>3500</c:v>
                </c:pt>
                <c:pt idx="2">
                  <c:v>4100</c:v>
                </c:pt>
                <c:pt idx="3">
                  <c:v>4300</c:v>
                </c:pt>
                <c:pt idx="4">
                  <c:v>3500</c:v>
                </c:pt>
                <c:pt idx="5">
                  <c:v>3500</c:v>
                </c:pt>
                <c:pt idx="6">
                  <c:v>3500</c:v>
                </c:pt>
                <c:pt idx="7">
                  <c:v>3500</c:v>
                </c:pt>
                <c:pt idx="8">
                  <c:v>3500</c:v>
                </c:pt>
                <c:pt idx="9">
                  <c:v>3500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BC9-4689-8AFD-175F7F202D04}"/>
            </c:ext>
          </c:extLst>
        </c:ser>
        <c:dLbls>
          <c:showLegendKey val="0"/>
          <c:showVal val="0"/>
          <c:showCatName val="0"/>
          <c:showSerName val="0"/>
          <c:showPercent val="0"/>
          <c:showBubbleSize val="0"/>
        </c:dLbls>
        <c:gapWidth val="150"/>
        <c:shape val="box"/>
        <c:axId val="1776348375"/>
        <c:axId val="815991355"/>
        <c:axId val="0"/>
      </c:bar3DChart>
      <c:catAx>
        <c:axId val="1776348375"/>
        <c:scaling>
          <c:orientation val="minMax"/>
        </c:scaling>
        <c:delete val="0"/>
        <c:axPos val="b"/>
        <c:title>
          <c:tx>
            <c:rich>
              <a:bodyPr/>
              <a:lstStyle/>
              <a:p>
                <a:pPr lvl="0">
                  <a:defRPr b="0">
                    <a:solidFill>
                      <a:srgbClr val="000000"/>
                    </a:solidFill>
                    <a:latin typeface="+mn-lt"/>
                  </a:defRPr>
                </a:pPr>
                <a:endParaRPr lang="en-PH"/>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815991355"/>
        <c:crosses val="autoZero"/>
        <c:auto val="1"/>
        <c:lblAlgn val="ctr"/>
        <c:lblOffset val="100"/>
        <c:noMultiLvlLbl val="1"/>
      </c:catAx>
      <c:valAx>
        <c:axId val="8159913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PH"/>
              </a:p>
            </c:rich>
          </c:tx>
          <c:overlay val="0"/>
        </c:title>
        <c:numFmt formatCode="_(&quot;$&quot;* #,##0.00_);_(&quot;$&quot;* \(#,##0.00\);_(&quot;$&quot;* &quot;-&quot;??_);_(@_)" sourceLinked="1"/>
        <c:majorTickMark val="none"/>
        <c:minorTickMark val="none"/>
        <c:tickLblPos val="nextTo"/>
        <c:spPr>
          <a:ln/>
        </c:spPr>
        <c:txPr>
          <a:bodyPr/>
          <a:lstStyle/>
          <a:p>
            <a:pPr lvl="0">
              <a:defRPr b="0">
                <a:solidFill>
                  <a:srgbClr val="000000"/>
                </a:solidFill>
                <a:latin typeface="+mn-lt"/>
              </a:defRPr>
            </a:pPr>
            <a:endParaRPr lang="en-US"/>
          </a:p>
        </c:txPr>
        <c:crossAx val="177634837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342900</xdr:colOff>
      <xdr:row>1</xdr:row>
      <xdr:rowOff>171450</xdr:rowOff>
    </xdr:from>
    <xdr:ext cx="1504950" cy="12382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276225</xdr:colOff>
      <xdr:row>2</xdr:row>
      <xdr:rowOff>66675</xdr:rowOff>
    </xdr:from>
    <xdr:ext cx="1504950" cy="1238250"/>
    <xdr:pic>
      <xdr:nvPicPr>
        <xdr:cNvPr id="8" name="image1.png" title="Image">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8</xdr:col>
      <xdr:colOff>66674</xdr:colOff>
      <xdr:row>8</xdr:row>
      <xdr:rowOff>171449</xdr:rowOff>
    </xdr:from>
    <xdr:to>
      <xdr:col>12</xdr:col>
      <xdr:colOff>2162174</xdr:colOff>
      <xdr:row>21</xdr:row>
      <xdr:rowOff>209550</xdr:rowOff>
    </xdr:to>
    <xdr:graphicFrame macro="">
      <xdr:nvGraphicFramePr>
        <xdr:cNvPr id="9" name="Chart 8">
          <a:extLst>
            <a:ext uri="{FF2B5EF4-FFF2-40B4-BE49-F238E27FC236}">
              <a16:creationId xmlns:a16="http://schemas.microsoft.com/office/drawing/2014/main" id="{63E89D0E-4492-444F-8C1E-3EDFD3AB0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61911</xdr:colOff>
      <xdr:row>22</xdr:row>
      <xdr:rowOff>19050</xdr:rowOff>
    </xdr:from>
    <xdr:to>
      <xdr:col>12</xdr:col>
      <xdr:colOff>2171699</xdr:colOff>
      <xdr:row>32</xdr:row>
      <xdr:rowOff>133350</xdr:rowOff>
    </xdr:to>
    <xdr:graphicFrame macro="">
      <xdr:nvGraphicFramePr>
        <xdr:cNvPr id="10" name="Chart 9">
          <a:extLst>
            <a:ext uri="{FF2B5EF4-FFF2-40B4-BE49-F238E27FC236}">
              <a16:creationId xmlns:a16="http://schemas.microsoft.com/office/drawing/2014/main" id="{E063E2C5-38C6-45A4-8290-71BE254DF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6</xdr:col>
      <xdr:colOff>361950</xdr:colOff>
      <xdr:row>2</xdr:row>
      <xdr:rowOff>57150</xdr:rowOff>
    </xdr:from>
    <xdr:ext cx="3724275" cy="2305050"/>
    <xdr:graphicFrame macro="">
      <xdr:nvGraphicFramePr>
        <xdr:cNvPr id="7" name="Chart 7" title="Chart">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533400</xdr:colOff>
      <xdr:row>2</xdr:row>
      <xdr:rowOff>47625</xdr:rowOff>
    </xdr:from>
    <xdr:ext cx="3724275" cy="2305050"/>
    <xdr:graphicFrame macro="">
      <xdr:nvGraphicFramePr>
        <xdr:cNvPr id="8" name="Chart 8" title="Chart">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12</xdr:col>
      <xdr:colOff>685800</xdr:colOff>
      <xdr:row>2</xdr:row>
      <xdr:rowOff>57150</xdr:rowOff>
    </xdr:from>
    <xdr:ext cx="3724275" cy="2286000"/>
    <xdr:graphicFrame macro="">
      <xdr:nvGraphicFramePr>
        <xdr:cNvPr id="9" name="Chart 9" title="Chart">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1057275</xdr:colOff>
      <xdr:row>4</xdr:row>
      <xdr:rowOff>104775</xdr:rowOff>
    </xdr:from>
    <xdr:ext cx="5648325" cy="2133600"/>
    <xdr:graphicFrame macro="">
      <xdr:nvGraphicFramePr>
        <xdr:cNvPr id="10" name="Chart 10" title="Chart">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561975</xdr:colOff>
      <xdr:row>4</xdr:row>
      <xdr:rowOff>95250</xdr:rowOff>
    </xdr:from>
    <xdr:ext cx="5648325" cy="2133600"/>
    <xdr:graphicFrame macro="">
      <xdr:nvGraphicFramePr>
        <xdr:cNvPr id="11" name="Chart 11" title="Chart">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9410700" cy="4286250"/>
    <xdr:pic>
      <xdr:nvPicPr>
        <xdr:cNvPr id="2" name="image2.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K28"/>
  <sheetViews>
    <sheetView showGridLines="0" workbookViewId="0"/>
  </sheetViews>
  <sheetFormatPr defaultColWidth="12.5703125" defaultRowHeight="15.75" customHeight="1"/>
  <cols>
    <col min="1" max="2" width="4.42578125" customWidth="1"/>
    <col min="3" max="9" width="16.42578125" customWidth="1"/>
    <col min="10" max="11" width="4.42578125" customWidth="1"/>
  </cols>
  <sheetData>
    <row r="1" spans="1:11">
      <c r="A1" s="1"/>
      <c r="B1" s="1"/>
      <c r="C1" s="1"/>
      <c r="D1" s="1"/>
      <c r="E1" s="1"/>
      <c r="F1" s="1"/>
      <c r="G1" s="1"/>
      <c r="H1" s="1"/>
      <c r="I1" s="2"/>
      <c r="J1" s="2"/>
      <c r="K1" s="2"/>
    </row>
    <row r="2" spans="1:11" ht="16.5" customHeight="1">
      <c r="A2" s="1"/>
      <c r="B2" s="3"/>
      <c r="C2" s="4"/>
      <c r="D2" s="4"/>
      <c r="E2" s="4"/>
      <c r="F2" s="4"/>
      <c r="G2" s="4"/>
      <c r="H2" s="4"/>
      <c r="I2" s="5"/>
      <c r="J2" s="6"/>
      <c r="K2" s="2"/>
    </row>
    <row r="3" spans="1:11" ht="16.5" customHeight="1">
      <c r="A3" s="1"/>
      <c r="B3" s="7"/>
      <c r="C3" s="1"/>
      <c r="D3" s="1"/>
      <c r="E3" s="1"/>
      <c r="F3" s="1"/>
      <c r="G3" s="1"/>
      <c r="H3" s="1"/>
      <c r="J3" s="8"/>
      <c r="K3" s="2"/>
    </row>
    <row r="4" spans="1:11" ht="16.5" customHeight="1">
      <c r="A4" s="1"/>
      <c r="B4" s="7"/>
      <c r="C4" s="1"/>
      <c r="D4" s="1"/>
      <c r="E4" s="1"/>
      <c r="F4" s="1"/>
      <c r="G4" s="1"/>
      <c r="H4" s="1"/>
      <c r="I4" s="9" t="s">
        <v>0</v>
      </c>
      <c r="J4" s="8"/>
      <c r="K4" s="2"/>
    </row>
    <row r="5" spans="1:11" ht="16.5" customHeight="1">
      <c r="A5" s="1"/>
      <c r="B5" s="7"/>
      <c r="C5" s="1"/>
      <c r="D5" s="1"/>
      <c r="E5" s="1"/>
      <c r="F5" s="1"/>
      <c r="G5" s="1"/>
      <c r="H5" s="1"/>
      <c r="I5" s="9" t="s">
        <v>1</v>
      </c>
      <c r="J5" s="8"/>
      <c r="K5" s="2"/>
    </row>
    <row r="6" spans="1:11" ht="16.5" customHeight="1">
      <c r="A6" s="1"/>
      <c r="B6" s="7"/>
      <c r="C6" s="1"/>
      <c r="D6" s="1"/>
      <c r="E6" s="1"/>
      <c r="F6" s="1"/>
      <c r="G6" s="1"/>
      <c r="H6" s="1"/>
      <c r="I6" s="9" t="s">
        <v>2</v>
      </c>
      <c r="J6" s="8"/>
      <c r="K6" s="2"/>
    </row>
    <row r="7" spans="1:11">
      <c r="A7" s="1"/>
      <c r="B7" s="7"/>
      <c r="C7" s="1"/>
      <c r="D7" s="1"/>
      <c r="E7" s="1"/>
      <c r="F7" s="1"/>
      <c r="G7" s="2"/>
      <c r="H7" s="1"/>
      <c r="I7" s="9" t="s">
        <v>3</v>
      </c>
      <c r="J7" s="8"/>
      <c r="K7" s="2"/>
    </row>
    <row r="8" spans="1:11">
      <c r="A8" s="1"/>
      <c r="B8" s="7"/>
      <c r="C8" s="1"/>
      <c r="D8" s="1"/>
      <c r="E8" s="1"/>
      <c r="F8" s="1"/>
      <c r="G8" s="1"/>
      <c r="H8" s="1"/>
      <c r="I8" s="2"/>
      <c r="J8" s="8"/>
      <c r="K8" s="2"/>
    </row>
    <row r="9" spans="1:11" ht="13.5" customHeight="1">
      <c r="A9" s="2"/>
      <c r="B9" s="10"/>
      <c r="C9" s="2"/>
      <c r="D9" s="2"/>
      <c r="E9" s="2"/>
      <c r="F9" s="2"/>
      <c r="G9" s="2"/>
      <c r="H9" s="2"/>
      <c r="I9" s="2"/>
      <c r="J9" s="8"/>
      <c r="K9" s="2"/>
    </row>
    <row r="10" spans="1:11" ht="13.5" customHeight="1">
      <c r="A10" s="11"/>
      <c r="B10" s="12"/>
      <c r="C10" s="13"/>
      <c r="D10" s="14"/>
      <c r="E10" s="15"/>
      <c r="F10" s="15"/>
      <c r="G10" s="15"/>
      <c r="H10" s="15"/>
      <c r="I10" s="16"/>
      <c r="J10" s="17"/>
      <c r="K10" s="18"/>
    </row>
    <row r="11" spans="1:11" ht="23.25" customHeight="1">
      <c r="A11" s="11"/>
      <c r="B11" s="12"/>
      <c r="C11" s="19" t="s">
        <v>4</v>
      </c>
      <c r="D11" s="20"/>
      <c r="E11" s="11"/>
      <c r="F11" s="11"/>
      <c r="G11" s="11"/>
      <c r="H11" s="11"/>
      <c r="I11" s="18"/>
      <c r="J11" s="17"/>
      <c r="K11" s="18"/>
    </row>
    <row r="12" spans="1:11" ht="30.75" customHeight="1">
      <c r="A12" s="21"/>
      <c r="B12" s="22"/>
      <c r="C12" s="21"/>
      <c r="D12" s="183" t="s">
        <v>5</v>
      </c>
      <c r="E12" s="217"/>
      <c r="F12" s="217"/>
      <c r="G12" s="217"/>
      <c r="H12" s="217"/>
      <c r="I12" s="2"/>
      <c r="J12" s="8"/>
      <c r="K12" s="2"/>
    </row>
    <row r="13" spans="1:11" ht="30.75" customHeight="1">
      <c r="A13" s="21"/>
      <c r="B13" s="22"/>
      <c r="C13" s="21"/>
      <c r="D13" s="217"/>
      <c r="E13" s="217"/>
      <c r="F13" s="217"/>
      <c r="G13" s="217"/>
      <c r="H13" s="217"/>
      <c r="I13" s="2"/>
      <c r="J13" s="8"/>
      <c r="K13" s="2"/>
    </row>
    <row r="14" spans="1:11" ht="30.75" customHeight="1">
      <c r="A14" s="21"/>
      <c r="B14" s="22"/>
      <c r="C14" s="21"/>
      <c r="D14" s="217"/>
      <c r="E14" s="217"/>
      <c r="F14" s="217"/>
      <c r="G14" s="217"/>
      <c r="H14" s="217"/>
      <c r="I14" s="2"/>
      <c r="J14" s="8"/>
      <c r="K14" s="2"/>
    </row>
    <row r="15" spans="1:11" ht="23.25" customHeight="1">
      <c r="A15" s="23"/>
      <c r="B15" s="24"/>
      <c r="C15" s="25" t="s">
        <v>6</v>
      </c>
      <c r="D15" s="20"/>
      <c r="E15" s="26"/>
      <c r="F15" s="26"/>
      <c r="G15" s="26"/>
      <c r="H15" s="26"/>
      <c r="I15" s="18"/>
      <c r="J15" s="17"/>
      <c r="K15" s="18"/>
    </row>
    <row r="16" spans="1:11" ht="18.75" customHeight="1">
      <c r="A16" s="18"/>
      <c r="B16" s="27"/>
      <c r="C16" s="18"/>
      <c r="D16" s="18" t="s">
        <v>7</v>
      </c>
      <c r="E16" s="28"/>
      <c r="F16" s="28"/>
      <c r="G16" s="29"/>
      <c r="H16" s="29"/>
      <c r="I16" s="18"/>
      <c r="J16" s="17"/>
      <c r="K16" s="18"/>
    </row>
    <row r="17" spans="1:11" ht="18.75" customHeight="1">
      <c r="A17" s="30"/>
      <c r="B17" s="31"/>
      <c r="C17" s="30"/>
      <c r="D17" s="18" t="s">
        <v>8</v>
      </c>
      <c r="E17" s="28"/>
      <c r="F17" s="29"/>
      <c r="G17" s="29"/>
      <c r="H17" s="29"/>
      <c r="I17" s="18"/>
      <c r="J17" s="17"/>
      <c r="K17" s="18"/>
    </row>
    <row r="18" spans="1:11" ht="18.75" customHeight="1">
      <c r="A18" s="29"/>
      <c r="B18" s="32"/>
      <c r="C18" s="29"/>
      <c r="D18" s="18" t="s">
        <v>9</v>
      </c>
      <c r="E18" s="28"/>
      <c r="F18" s="29"/>
      <c r="G18" s="29"/>
      <c r="H18" s="29"/>
      <c r="I18" s="18"/>
      <c r="J18" s="17"/>
      <c r="K18" s="18"/>
    </row>
    <row r="19" spans="1:11" ht="18.75" customHeight="1">
      <c r="A19" s="29"/>
      <c r="B19" s="32"/>
      <c r="C19" s="29"/>
      <c r="D19" s="18" t="s">
        <v>10</v>
      </c>
      <c r="E19" s="28"/>
      <c r="F19" s="29"/>
      <c r="G19" s="29"/>
      <c r="H19" s="29"/>
      <c r="I19" s="18"/>
      <c r="J19" s="17"/>
      <c r="K19" s="18"/>
    </row>
    <row r="20" spans="1:11" ht="18.75" customHeight="1">
      <c r="A20" s="29"/>
      <c r="B20" s="32"/>
      <c r="C20" s="29"/>
      <c r="D20" s="18" t="s">
        <v>11</v>
      </c>
      <c r="E20" s="28"/>
      <c r="F20" s="29"/>
      <c r="G20" s="29"/>
      <c r="H20" s="29"/>
      <c r="I20" s="18"/>
      <c r="J20" s="17"/>
      <c r="K20" s="18"/>
    </row>
    <row r="21" spans="1:11" ht="16.5" customHeight="1">
      <c r="A21" s="33"/>
      <c r="B21" s="34"/>
      <c r="C21" s="33"/>
      <c r="D21" s="33"/>
      <c r="E21" s="33"/>
      <c r="F21" s="33"/>
      <c r="G21" s="33"/>
      <c r="H21" s="33"/>
      <c r="I21" s="2"/>
      <c r="J21" s="8"/>
      <c r="K21" s="2"/>
    </row>
    <row r="22" spans="1:11" ht="16.5" customHeight="1">
      <c r="A22" s="33"/>
      <c r="B22" s="35"/>
      <c r="C22" s="36"/>
      <c r="D22" s="37"/>
      <c r="E22" s="37"/>
      <c r="F22" s="37"/>
      <c r="G22" s="37"/>
      <c r="H22" s="37"/>
      <c r="I22" s="38"/>
      <c r="J22" s="39"/>
      <c r="K22" s="2"/>
    </row>
    <row r="23" spans="1:11" ht="16.5" customHeight="1">
      <c r="A23" s="33"/>
      <c r="B23" s="40"/>
      <c r="C23" s="41"/>
      <c r="D23" s="41"/>
      <c r="E23" s="41"/>
      <c r="F23" s="41"/>
      <c r="G23" s="41"/>
      <c r="H23" s="41"/>
      <c r="I23" s="42"/>
      <c r="J23" s="43"/>
      <c r="K23" s="2"/>
    </row>
    <row r="24" spans="1:11" ht="18.75" customHeight="1">
      <c r="A24" s="33"/>
      <c r="B24" s="44"/>
      <c r="C24" s="33"/>
      <c r="D24" s="33"/>
      <c r="E24" s="33"/>
      <c r="F24" s="33"/>
      <c r="G24" s="33"/>
      <c r="H24" s="33"/>
      <c r="I24" s="2"/>
      <c r="J24" s="2"/>
      <c r="K24" s="2"/>
    </row>
    <row r="25" spans="1:11" ht="18.75" customHeight="1">
      <c r="A25" s="33"/>
      <c r="B25" s="44"/>
      <c r="C25" s="33"/>
      <c r="D25" s="45"/>
      <c r="E25" s="45"/>
      <c r="F25" s="45"/>
      <c r="G25" s="45"/>
      <c r="H25" s="45"/>
      <c r="I25" s="2"/>
      <c r="J25" s="2"/>
      <c r="K25" s="2"/>
    </row>
    <row r="26" spans="1:11" ht="18.75" customHeight="1">
      <c r="A26" s="33"/>
      <c r="B26" s="44"/>
      <c r="C26" s="33"/>
      <c r="D26" s="45"/>
      <c r="E26" s="45"/>
      <c r="F26" s="45"/>
      <c r="G26" s="45"/>
      <c r="H26" s="45"/>
      <c r="I26" s="2"/>
      <c r="J26" s="2"/>
      <c r="K26" s="2"/>
    </row>
    <row r="27" spans="1:11" ht="18.75" customHeight="1">
      <c r="A27" s="33"/>
      <c r="B27" s="44"/>
      <c r="C27" s="33"/>
      <c r="D27" s="45"/>
      <c r="E27" s="45"/>
      <c r="F27" s="45"/>
      <c r="G27" s="45"/>
      <c r="H27" s="45"/>
      <c r="I27" s="2"/>
      <c r="J27" s="2"/>
      <c r="K27" s="2"/>
    </row>
    <row r="28" spans="1:11" ht="18.75" customHeight="1">
      <c r="A28" s="33"/>
      <c r="B28" s="44"/>
      <c r="C28" s="33"/>
      <c r="D28" s="45"/>
      <c r="E28" s="45"/>
      <c r="F28" s="45"/>
      <c r="G28" s="45"/>
      <c r="H28" s="45"/>
      <c r="I28" s="2"/>
      <c r="J28" s="2"/>
      <c r="K28" s="2"/>
    </row>
  </sheetData>
  <mergeCells count="1">
    <mergeCell ref="D12:H14"/>
  </mergeCells>
  <printOptions horizontalCentered="1" gridLines="1"/>
  <pageMargins left="0.7" right="0.7" top="0.75" bottom="0.75" header="0" footer="0"/>
  <pageSetup pageOrder="overThenDown" orientation="landscape" cellComments="atEnd"/>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P53"/>
  <sheetViews>
    <sheetView showGridLines="0" workbookViewId="0">
      <selection activeCell="M44" sqref="M44:N44"/>
    </sheetView>
  </sheetViews>
  <sheetFormatPr defaultColWidth="12.5703125" defaultRowHeight="15.75" customHeight="1"/>
  <cols>
    <col min="1" max="2" width="4.140625" customWidth="1"/>
    <col min="3" max="7" width="18.5703125" customWidth="1"/>
    <col min="8" max="9" width="4.140625" customWidth="1"/>
    <col min="10" max="12" width="23.42578125" customWidth="1"/>
    <col min="13" max="14" width="36" customWidth="1"/>
    <col min="15" max="16" width="4.140625" customWidth="1"/>
  </cols>
  <sheetData>
    <row r="1" spans="1:16">
      <c r="A1" s="1"/>
      <c r="B1" s="1"/>
      <c r="C1" s="1"/>
      <c r="D1" s="1"/>
      <c r="E1" s="1"/>
      <c r="F1" s="1"/>
      <c r="G1" s="1"/>
      <c r="H1" s="2"/>
      <c r="I1" s="2"/>
      <c r="J1" s="2"/>
      <c r="K1" s="2"/>
      <c r="L1" s="2"/>
      <c r="M1" s="2"/>
      <c r="N1" s="2"/>
      <c r="O1" s="2"/>
      <c r="P1" s="2"/>
    </row>
    <row r="2" spans="1:16">
      <c r="A2" s="1"/>
      <c r="B2" s="46"/>
      <c r="C2" s="47"/>
      <c r="D2" s="47"/>
      <c r="E2" s="47"/>
      <c r="F2" s="47"/>
      <c r="G2" s="47"/>
      <c r="H2" s="48"/>
      <c r="I2" s="48"/>
      <c r="J2" s="48"/>
      <c r="K2" s="48"/>
      <c r="L2" s="48"/>
      <c r="M2" s="48"/>
      <c r="N2" s="48"/>
      <c r="O2" s="49"/>
      <c r="P2" s="2"/>
    </row>
    <row r="3" spans="1:16">
      <c r="A3" s="1"/>
      <c r="B3" s="50"/>
      <c r="C3" s="1"/>
      <c r="D3" s="1"/>
      <c r="E3" s="1"/>
      <c r="F3" s="1"/>
      <c r="G3" s="1"/>
      <c r="H3" s="2"/>
      <c r="I3" s="2"/>
      <c r="J3" s="2"/>
      <c r="K3" s="2"/>
      <c r="L3" s="2"/>
      <c r="M3" s="2"/>
      <c r="N3" s="2"/>
      <c r="O3" s="51"/>
      <c r="P3" s="2"/>
    </row>
    <row r="4" spans="1:16">
      <c r="A4" s="1"/>
      <c r="B4" s="50"/>
      <c r="C4" s="1"/>
      <c r="D4" s="1"/>
      <c r="E4" s="1"/>
      <c r="F4" s="1"/>
      <c r="G4" s="1"/>
      <c r="H4" s="2"/>
      <c r="I4" s="2"/>
      <c r="J4" s="2"/>
      <c r="K4" s="2"/>
      <c r="L4" s="2"/>
      <c r="M4" s="2"/>
      <c r="N4" s="9" t="s">
        <v>0</v>
      </c>
      <c r="O4" s="51"/>
      <c r="P4" s="2"/>
    </row>
    <row r="5" spans="1:16">
      <c r="A5" s="1"/>
      <c r="B5" s="50"/>
      <c r="C5" s="1"/>
      <c r="D5" s="1"/>
      <c r="E5" s="1"/>
      <c r="F5" s="1"/>
      <c r="G5" s="1"/>
      <c r="H5" s="2"/>
      <c r="I5" s="2"/>
      <c r="J5" s="2"/>
      <c r="K5" s="2"/>
      <c r="L5" s="2"/>
      <c r="M5" s="2"/>
      <c r="N5" s="9" t="s">
        <v>1</v>
      </c>
      <c r="O5" s="51"/>
      <c r="P5" s="2"/>
    </row>
    <row r="6" spans="1:16">
      <c r="A6" s="1"/>
      <c r="B6" s="50"/>
      <c r="C6" s="1"/>
      <c r="D6" s="1"/>
      <c r="E6" s="1"/>
      <c r="F6" s="1"/>
      <c r="G6" s="1"/>
      <c r="H6" s="2"/>
      <c r="I6" s="2"/>
      <c r="J6" s="2"/>
      <c r="K6" s="2"/>
      <c r="L6" s="2"/>
      <c r="M6" s="2"/>
      <c r="N6" s="9" t="s">
        <v>2</v>
      </c>
      <c r="O6" s="51"/>
      <c r="P6" s="2"/>
    </row>
    <row r="7" spans="1:16">
      <c r="A7" s="1"/>
      <c r="B7" s="50"/>
      <c r="C7" s="1"/>
      <c r="D7" s="1"/>
      <c r="E7" s="1"/>
      <c r="F7" s="1"/>
      <c r="G7" s="1"/>
      <c r="H7" s="2"/>
      <c r="I7" s="2"/>
      <c r="J7" s="2"/>
      <c r="K7" s="2"/>
      <c r="L7" s="2"/>
      <c r="M7" s="2"/>
      <c r="N7" s="9" t="s">
        <v>3</v>
      </c>
      <c r="O7" s="51"/>
      <c r="P7" s="2"/>
    </row>
    <row r="8" spans="1:16" ht="23.25" customHeight="1">
      <c r="A8" s="1"/>
      <c r="B8" s="50"/>
      <c r="C8" s="1"/>
      <c r="D8" s="1"/>
      <c r="E8" s="1"/>
      <c r="F8" s="1"/>
      <c r="G8" s="1"/>
      <c r="H8" s="2"/>
      <c r="I8" s="2"/>
      <c r="J8" s="2"/>
      <c r="K8" s="2"/>
      <c r="L8" s="2"/>
      <c r="M8" s="2"/>
      <c r="O8" s="51"/>
      <c r="P8" s="2"/>
    </row>
    <row r="9" spans="1:16">
      <c r="A9" s="1"/>
      <c r="B9" s="50"/>
      <c r="C9" s="52"/>
      <c r="D9" s="52"/>
      <c r="E9" s="52"/>
      <c r="F9" s="53"/>
      <c r="G9" s="52"/>
      <c r="H9" s="54"/>
      <c r="I9" s="55"/>
      <c r="J9" s="177"/>
      <c r="K9" s="177"/>
      <c r="L9" s="177"/>
      <c r="M9" s="177"/>
      <c r="N9" s="55"/>
      <c r="O9" s="51"/>
      <c r="P9" s="2"/>
    </row>
    <row r="10" spans="1:16">
      <c r="A10" s="1"/>
      <c r="B10" s="50"/>
      <c r="C10" s="1"/>
      <c r="D10" s="1"/>
      <c r="E10" s="1"/>
      <c r="F10" s="1"/>
      <c r="G10" s="1"/>
      <c r="H10" s="2"/>
      <c r="I10" s="38"/>
      <c r="J10" s="178"/>
      <c r="K10" s="178"/>
      <c r="L10" s="178"/>
      <c r="M10" s="178"/>
      <c r="N10" s="38"/>
      <c r="O10" s="51"/>
      <c r="P10" s="2"/>
    </row>
    <row r="11" spans="1:16" thickBot="1">
      <c r="A11" s="2"/>
      <c r="B11" s="56"/>
      <c r="C11" s="2"/>
      <c r="D11" s="2"/>
      <c r="E11" s="2"/>
      <c r="F11" s="2"/>
      <c r="G11" s="2"/>
      <c r="H11" s="2"/>
      <c r="I11" s="38"/>
      <c r="J11" s="178"/>
      <c r="K11" s="178"/>
      <c r="L11" s="178"/>
      <c r="M11" s="178"/>
      <c r="N11" s="38" t="str">
        <f>C14</f>
        <v>Value Engineering</v>
      </c>
      <c r="O11" s="51"/>
      <c r="P11" s="2"/>
    </row>
    <row r="12" spans="1:16" ht="24.75" thickTop="1" thickBot="1">
      <c r="A12" s="1"/>
      <c r="B12" s="50"/>
      <c r="C12" s="205" t="s">
        <v>12</v>
      </c>
      <c r="D12" s="218"/>
      <c r="E12" s="218"/>
      <c r="F12" s="218"/>
      <c r="G12" s="219"/>
      <c r="H12" s="2"/>
      <c r="I12" s="38"/>
      <c r="J12" s="178"/>
      <c r="K12" s="178"/>
      <c r="L12" s="178"/>
      <c r="M12" s="178"/>
      <c r="N12" s="184">
        <f>F22</f>
        <v>8000</v>
      </c>
      <c r="O12" s="51"/>
      <c r="P12" s="2"/>
    </row>
    <row r="13" spans="1:16" ht="16.5" thickTop="1">
      <c r="A13" s="1"/>
      <c r="B13" s="50"/>
      <c r="C13" s="1"/>
      <c r="D13" s="1"/>
      <c r="E13" s="1"/>
      <c r="F13" s="1"/>
      <c r="G13" s="1"/>
      <c r="H13" s="2"/>
      <c r="I13" s="38"/>
      <c r="J13" s="178"/>
      <c r="K13" s="178"/>
      <c r="L13" s="178"/>
      <c r="M13" s="178"/>
      <c r="N13" s="185"/>
      <c r="O13" s="51"/>
      <c r="P13" s="2"/>
    </row>
    <row r="14" spans="1:16" ht="16.5" thickBot="1">
      <c r="A14" s="1"/>
      <c r="B14" s="50"/>
      <c r="C14" s="57" t="s">
        <v>13</v>
      </c>
      <c r="D14" s="58"/>
      <c r="E14" s="58"/>
      <c r="F14" s="58"/>
      <c r="G14" s="58"/>
      <c r="H14" s="2"/>
      <c r="I14" s="38"/>
      <c r="J14" s="178" t="str" cm="1">
        <f t="array" ref="J14:J25">C37:C48</f>
        <v>Excavation</v>
      </c>
      <c r="K14" s="179" cm="1">
        <f t="array" ref="K14:K25">G37:G48</f>
        <v>12600</v>
      </c>
      <c r="L14" s="178"/>
      <c r="M14" s="178"/>
      <c r="N14" s="186"/>
      <c r="O14" s="51"/>
      <c r="P14" s="2"/>
    </row>
    <row r="15" spans="1:16" ht="19.5" customHeight="1">
      <c r="A15" s="11"/>
      <c r="B15" s="59"/>
      <c r="C15" s="60" t="s">
        <v>14</v>
      </c>
      <c r="D15" s="195" t="s">
        <v>15</v>
      </c>
      <c r="E15" s="220"/>
      <c r="F15" s="195" t="s">
        <v>16</v>
      </c>
      <c r="G15" s="220"/>
      <c r="H15" s="18"/>
      <c r="I15" s="61"/>
      <c r="J15" s="180" t="str">
        <v>Foundation</v>
      </c>
      <c r="K15" s="180">
        <v>11100</v>
      </c>
      <c r="L15" s="180"/>
      <c r="M15" s="180"/>
      <c r="N15" s="61"/>
      <c r="O15" s="62"/>
      <c r="P15" s="18"/>
    </row>
    <row r="16" spans="1:16" ht="19.5" customHeight="1" thickBot="1">
      <c r="A16" s="11"/>
      <c r="B16" s="59"/>
      <c r="C16" s="63" t="s">
        <v>17</v>
      </c>
      <c r="D16" s="206" t="s">
        <v>18</v>
      </c>
      <c r="E16" s="221"/>
      <c r="F16" s="202">
        <v>1500</v>
      </c>
      <c r="G16" s="222"/>
      <c r="H16" s="18"/>
      <c r="I16" s="61"/>
      <c r="J16" s="181" t="str">
        <v>Framing</v>
      </c>
      <c r="K16" s="180">
        <v>7300</v>
      </c>
      <c r="L16" s="180"/>
      <c r="M16" s="180"/>
      <c r="N16" s="61" t="str">
        <f>C24</f>
        <v>Budget Summary</v>
      </c>
      <c r="O16" s="62"/>
      <c r="P16" s="18"/>
    </row>
    <row r="17" spans="1:16" ht="19.5" customHeight="1">
      <c r="A17" s="11"/>
      <c r="B17" s="59"/>
      <c r="C17" s="64" t="s">
        <v>19</v>
      </c>
      <c r="D17" s="203" t="s">
        <v>20</v>
      </c>
      <c r="E17" s="223"/>
      <c r="F17" s="197">
        <v>2800</v>
      </c>
      <c r="G17" s="224"/>
      <c r="H17" s="18"/>
      <c r="I17" s="61"/>
      <c r="J17" s="182" t="str">
        <v>Roofing</v>
      </c>
      <c r="K17" s="180">
        <v>7600</v>
      </c>
      <c r="L17" s="180"/>
      <c r="M17" s="180"/>
      <c r="N17" s="184">
        <f>F32</f>
        <v>18500</v>
      </c>
      <c r="O17" s="62"/>
      <c r="P17" s="18"/>
    </row>
    <row r="18" spans="1:16" ht="19.5" customHeight="1">
      <c r="A18" s="11"/>
      <c r="B18" s="59"/>
      <c r="C18" s="64" t="s">
        <v>21</v>
      </c>
      <c r="D18" s="203" t="s">
        <v>22</v>
      </c>
      <c r="E18" s="223"/>
      <c r="F18" s="197">
        <v>2500</v>
      </c>
      <c r="G18" s="224"/>
      <c r="H18" s="18"/>
      <c r="I18" s="61"/>
      <c r="J18" s="180" t="str">
        <v>Plumbing</v>
      </c>
      <c r="K18" s="180">
        <v>7000</v>
      </c>
      <c r="L18" s="180"/>
      <c r="M18" s="180"/>
      <c r="N18" s="185"/>
      <c r="O18" s="62"/>
      <c r="P18" s="18"/>
    </row>
    <row r="19" spans="1:16" ht="19.5" customHeight="1" thickBot="1">
      <c r="A19" s="11"/>
      <c r="B19" s="59"/>
      <c r="C19" s="64" t="s">
        <v>23</v>
      </c>
      <c r="D19" s="203" t="s">
        <v>24</v>
      </c>
      <c r="E19" s="223"/>
      <c r="F19" s="197">
        <v>1200</v>
      </c>
      <c r="G19" s="224"/>
      <c r="H19" s="18"/>
      <c r="I19" s="61"/>
      <c r="J19" s="180" t="str">
        <v>Electrical</v>
      </c>
      <c r="K19" s="180">
        <v>7800</v>
      </c>
      <c r="L19" s="180"/>
      <c r="M19" s="180"/>
      <c r="N19" s="186"/>
      <c r="O19" s="62"/>
      <c r="P19" s="18"/>
    </row>
    <row r="20" spans="1:16" ht="19.5" customHeight="1">
      <c r="A20" s="11"/>
      <c r="B20" s="59"/>
      <c r="C20" s="64"/>
      <c r="D20" s="203"/>
      <c r="E20" s="223"/>
      <c r="F20" s="197"/>
      <c r="G20" s="224"/>
      <c r="H20" s="18"/>
      <c r="I20" s="61"/>
      <c r="J20" s="180" t="str">
        <v>HVAC</v>
      </c>
      <c r="K20" s="180">
        <v>7000</v>
      </c>
      <c r="L20" s="180"/>
      <c r="M20" s="180"/>
      <c r="N20" s="61"/>
      <c r="O20" s="62"/>
      <c r="P20" s="18"/>
    </row>
    <row r="21" spans="1:16" ht="19.5" customHeight="1">
      <c r="A21" s="11"/>
      <c r="B21" s="59"/>
      <c r="C21" s="65"/>
      <c r="D21" s="204"/>
      <c r="E21" s="225"/>
      <c r="F21" s="192"/>
      <c r="G21" s="226"/>
      <c r="H21" s="18"/>
      <c r="I21" s="61"/>
      <c r="J21" s="180" t="str">
        <v>Insulation</v>
      </c>
      <c r="K21" s="180">
        <v>8400</v>
      </c>
      <c r="L21" s="180"/>
      <c r="M21" s="180"/>
      <c r="N21" s="61"/>
      <c r="O21" s="62"/>
      <c r="P21" s="18"/>
    </row>
    <row r="22" spans="1:16" ht="19.5" customHeight="1" thickBot="1">
      <c r="A22" s="11"/>
      <c r="B22" s="59"/>
      <c r="C22" s="193" t="s">
        <v>25</v>
      </c>
      <c r="D22" s="227"/>
      <c r="E22" s="220"/>
      <c r="F22" s="194">
        <f>SUM(F16:G19)</f>
        <v>8000</v>
      </c>
      <c r="G22" s="220"/>
      <c r="H22" s="18"/>
      <c r="I22" s="61"/>
      <c r="J22" s="180" t="str">
        <v>Drywall</v>
      </c>
      <c r="K22" s="180">
        <v>12000</v>
      </c>
      <c r="L22" s="180"/>
      <c r="M22" s="180"/>
      <c r="N22" s="61" t="str">
        <f>C35</f>
        <v>Cost Breakdown Structure</v>
      </c>
      <c r="O22" s="62"/>
      <c r="P22" s="18"/>
    </row>
    <row r="23" spans="1:16" ht="19.5" customHeight="1">
      <c r="A23" s="11"/>
      <c r="B23" s="59"/>
      <c r="C23" s="18"/>
      <c r="D23" s="18"/>
      <c r="E23" s="18"/>
      <c r="F23" s="18"/>
      <c r="G23" s="18"/>
      <c r="H23" s="18"/>
      <c r="I23" s="61"/>
      <c r="J23" s="180" t="str">
        <v>Flooring</v>
      </c>
      <c r="K23" s="180">
        <v>11100</v>
      </c>
      <c r="L23" s="180"/>
      <c r="M23" s="180"/>
      <c r="N23" s="184">
        <f>G49</f>
        <v>91900</v>
      </c>
      <c r="O23" s="62"/>
      <c r="P23" s="18"/>
    </row>
    <row r="24" spans="1:16" ht="19.5" customHeight="1">
      <c r="A24" s="11"/>
      <c r="B24" s="59"/>
      <c r="C24" s="66" t="s">
        <v>26</v>
      </c>
      <c r="D24" s="67"/>
      <c r="E24" s="67"/>
      <c r="F24" s="67"/>
      <c r="G24" s="67"/>
      <c r="H24" s="18"/>
      <c r="I24" s="61"/>
      <c r="J24" s="180">
        <v>0</v>
      </c>
      <c r="K24" s="180">
        <v>0</v>
      </c>
      <c r="L24" s="180"/>
      <c r="M24" s="180"/>
      <c r="N24" s="185"/>
      <c r="O24" s="62"/>
      <c r="P24" s="18"/>
    </row>
    <row r="25" spans="1:16" ht="19.5" customHeight="1" thickBot="1">
      <c r="A25" s="11"/>
      <c r="B25" s="59"/>
      <c r="C25" s="200" t="s">
        <v>27</v>
      </c>
      <c r="D25" s="227"/>
      <c r="E25" s="220"/>
      <c r="F25" s="195" t="s">
        <v>16</v>
      </c>
      <c r="G25" s="220"/>
      <c r="H25" s="18"/>
      <c r="I25" s="61"/>
      <c r="J25" s="61">
        <v>0</v>
      </c>
      <c r="K25" s="61">
        <v>0</v>
      </c>
      <c r="L25" s="61"/>
      <c r="M25" s="61"/>
      <c r="N25" s="186"/>
      <c r="O25" s="62"/>
      <c r="P25" s="18"/>
    </row>
    <row r="26" spans="1:16" ht="19.5" customHeight="1">
      <c r="A26" s="11"/>
      <c r="B26" s="59"/>
      <c r="C26" s="201" t="s">
        <v>28</v>
      </c>
      <c r="D26" s="228"/>
      <c r="E26" s="221"/>
      <c r="F26" s="202">
        <v>9000</v>
      </c>
      <c r="G26" s="222"/>
      <c r="H26" s="18"/>
      <c r="I26" s="61"/>
      <c r="J26" s="61"/>
      <c r="K26" s="61"/>
      <c r="L26" s="61"/>
      <c r="M26" s="61"/>
      <c r="N26" s="61"/>
      <c r="O26" s="62"/>
      <c r="P26" s="18"/>
    </row>
    <row r="27" spans="1:16" ht="19.5" customHeight="1">
      <c r="A27" s="11"/>
      <c r="B27" s="59"/>
      <c r="C27" s="196" t="s">
        <v>29</v>
      </c>
      <c r="D27" s="229"/>
      <c r="E27" s="223"/>
      <c r="F27" s="197">
        <v>7500</v>
      </c>
      <c r="G27" s="224"/>
      <c r="H27" s="18"/>
      <c r="I27" s="61"/>
      <c r="J27" s="61"/>
      <c r="K27" s="61"/>
      <c r="L27" s="61"/>
      <c r="M27" s="61"/>
      <c r="N27" s="61"/>
      <c r="O27" s="62"/>
      <c r="P27" s="18"/>
    </row>
    <row r="28" spans="1:16" ht="19.5" customHeight="1" thickBot="1">
      <c r="A28" s="11"/>
      <c r="B28" s="59"/>
      <c r="C28" s="196" t="s">
        <v>30</v>
      </c>
      <c r="D28" s="229"/>
      <c r="E28" s="223"/>
      <c r="F28" s="197">
        <v>2000</v>
      </c>
      <c r="G28" s="224"/>
      <c r="H28" s="18"/>
      <c r="I28" s="61"/>
      <c r="J28" s="61"/>
      <c r="K28" s="61"/>
      <c r="L28" s="61"/>
      <c r="M28" s="61"/>
      <c r="N28" s="61" t="str">
        <f>J35</f>
        <v>Cash Flow Projection</v>
      </c>
      <c r="O28" s="62"/>
      <c r="P28" s="18"/>
    </row>
    <row r="29" spans="1:16" ht="19.5" customHeight="1">
      <c r="A29" s="11"/>
      <c r="B29" s="59"/>
      <c r="C29" s="198"/>
      <c r="D29" s="230"/>
      <c r="E29" s="231"/>
      <c r="F29" s="199"/>
      <c r="G29" s="232"/>
      <c r="H29" s="18"/>
      <c r="I29" s="61"/>
      <c r="J29" s="61"/>
      <c r="K29" s="61"/>
      <c r="L29" s="61"/>
      <c r="M29" s="61"/>
      <c r="N29" s="184">
        <f>L49</f>
        <v>70000</v>
      </c>
      <c r="O29" s="62"/>
      <c r="P29" s="18"/>
    </row>
    <row r="30" spans="1:16" ht="19.5" customHeight="1">
      <c r="A30" s="11"/>
      <c r="B30" s="59"/>
      <c r="C30" s="198"/>
      <c r="D30" s="230"/>
      <c r="E30" s="231"/>
      <c r="F30" s="199"/>
      <c r="G30" s="232"/>
      <c r="H30" s="18"/>
      <c r="I30" s="61"/>
      <c r="J30" s="61"/>
      <c r="K30" s="61"/>
      <c r="L30" s="61"/>
      <c r="M30" s="61"/>
      <c r="N30" s="185"/>
      <c r="O30" s="62"/>
      <c r="P30" s="18"/>
    </row>
    <row r="31" spans="1:16" ht="19.5" customHeight="1" thickBot="1">
      <c r="A31" s="11"/>
      <c r="B31" s="59"/>
      <c r="C31" s="191" t="s">
        <v>31</v>
      </c>
      <c r="D31" s="233"/>
      <c r="E31" s="225"/>
      <c r="F31" s="192" t="s">
        <v>31</v>
      </c>
      <c r="G31" s="226"/>
      <c r="H31" s="18"/>
      <c r="I31" s="61"/>
      <c r="J31" s="61"/>
      <c r="K31" s="61"/>
      <c r="L31" s="61"/>
      <c r="M31" s="61"/>
      <c r="N31" s="186"/>
      <c r="O31" s="62"/>
      <c r="P31" s="18"/>
    </row>
    <row r="32" spans="1:16" ht="19.5" customHeight="1">
      <c r="A32" s="11"/>
      <c r="B32" s="59"/>
      <c r="C32" s="193" t="s">
        <v>25</v>
      </c>
      <c r="D32" s="227"/>
      <c r="E32" s="220"/>
      <c r="F32" s="194">
        <f>SUM(F26:G28)</f>
        <v>18500</v>
      </c>
      <c r="G32" s="220"/>
      <c r="H32" s="18"/>
      <c r="I32" s="61"/>
      <c r="J32" s="61"/>
      <c r="K32" s="61"/>
      <c r="L32" s="61"/>
      <c r="M32" s="61"/>
      <c r="N32" s="61"/>
      <c r="O32" s="62"/>
      <c r="P32" s="18"/>
    </row>
    <row r="33" spans="1:16" ht="19.5" customHeight="1">
      <c r="A33" s="11"/>
      <c r="B33" s="59"/>
      <c r="C33" s="11"/>
      <c r="D33" s="11"/>
      <c r="E33" s="11"/>
      <c r="F33" s="11"/>
      <c r="G33" s="11"/>
      <c r="H33" s="18"/>
      <c r="I33" s="61"/>
      <c r="J33" s="61"/>
      <c r="K33" s="61"/>
      <c r="L33" s="61"/>
      <c r="M33" s="61"/>
      <c r="N33" s="61"/>
      <c r="O33" s="62"/>
      <c r="P33" s="18"/>
    </row>
    <row r="34" spans="1:16" ht="19.5" customHeight="1">
      <c r="A34" s="11"/>
      <c r="B34" s="59"/>
      <c r="C34" s="68"/>
      <c r="D34" s="68"/>
      <c r="E34" s="68"/>
      <c r="F34" s="68"/>
      <c r="G34" s="68"/>
      <c r="H34" s="68"/>
      <c r="I34" s="68"/>
      <c r="J34" s="68"/>
      <c r="K34" s="68"/>
      <c r="L34" s="68"/>
      <c r="M34" s="68"/>
      <c r="N34" s="68"/>
      <c r="O34" s="62"/>
      <c r="P34" s="18"/>
    </row>
    <row r="35" spans="1:16" ht="19.5" customHeight="1">
      <c r="A35" s="30"/>
      <c r="B35" s="69"/>
      <c r="C35" s="66" t="s">
        <v>32</v>
      </c>
      <c r="D35" s="67"/>
      <c r="E35" s="67"/>
      <c r="F35" s="67"/>
      <c r="G35" s="67"/>
      <c r="H35" s="18"/>
      <c r="I35" s="18"/>
      <c r="J35" s="66" t="s">
        <v>33</v>
      </c>
      <c r="K35" s="67"/>
      <c r="L35" s="67"/>
      <c r="M35" s="67"/>
      <c r="N35" s="67"/>
      <c r="O35" s="62"/>
      <c r="P35" s="18"/>
    </row>
    <row r="36" spans="1:16" ht="19.5" customHeight="1">
      <c r="A36" s="11"/>
      <c r="B36" s="59"/>
      <c r="C36" s="60" t="s">
        <v>14</v>
      </c>
      <c r="D36" s="70" t="s">
        <v>34</v>
      </c>
      <c r="E36" s="70" t="s">
        <v>35</v>
      </c>
      <c r="F36" s="70" t="s">
        <v>36</v>
      </c>
      <c r="G36" s="70" t="s">
        <v>37</v>
      </c>
      <c r="H36" s="18"/>
      <c r="I36" s="18"/>
      <c r="J36" s="60" t="s">
        <v>38</v>
      </c>
      <c r="K36" s="70" t="s">
        <v>39</v>
      </c>
      <c r="L36" s="70" t="s">
        <v>40</v>
      </c>
      <c r="M36" s="195" t="s">
        <v>41</v>
      </c>
      <c r="N36" s="220"/>
      <c r="O36" s="62"/>
      <c r="P36" s="18"/>
    </row>
    <row r="37" spans="1:16" ht="19.5" customHeight="1">
      <c r="A37" s="18"/>
      <c r="B37" s="71"/>
      <c r="C37" s="72" t="str">
        <f>'Cost Breakdown Structure'!C18</f>
        <v>Excavation</v>
      </c>
      <c r="D37" s="73">
        <f>'Cost Breakdown Structure'!D18</f>
        <v>4300</v>
      </c>
      <c r="E37" s="73">
        <f>'Cost Breakdown Structure'!D30</f>
        <v>4200</v>
      </c>
      <c r="F37" s="73">
        <f>'Cost Breakdown Structure'!D42</f>
        <v>4100</v>
      </c>
      <c r="G37" s="74">
        <f t="shared" ref="G37:G48" si="0">SUM(D37:F37)</f>
        <v>12600</v>
      </c>
      <c r="H37" s="18"/>
      <c r="I37" s="18"/>
      <c r="J37" s="63" t="s">
        <v>42</v>
      </c>
      <c r="K37" s="73">
        <v>50000</v>
      </c>
      <c r="L37" s="73" t="s">
        <v>31</v>
      </c>
      <c r="M37" s="189" t="s">
        <v>43</v>
      </c>
      <c r="N37" s="222"/>
      <c r="O37" s="62"/>
      <c r="P37" s="18"/>
    </row>
    <row r="38" spans="1:16" ht="19.5" customHeight="1">
      <c r="A38" s="18"/>
      <c r="B38" s="71"/>
      <c r="C38" s="75" t="str">
        <f>'Cost Breakdown Structure'!C19</f>
        <v>Foundation</v>
      </c>
      <c r="D38" s="76">
        <f>'Cost Breakdown Structure'!D19</f>
        <v>4100</v>
      </c>
      <c r="E38" s="76">
        <f>'Cost Breakdown Structure'!D31</f>
        <v>3500</v>
      </c>
      <c r="F38" s="76">
        <f>'Cost Breakdown Structure'!D43</f>
        <v>3500</v>
      </c>
      <c r="G38" s="77">
        <f t="shared" si="0"/>
        <v>11100</v>
      </c>
      <c r="H38" s="18"/>
      <c r="I38" s="18"/>
      <c r="J38" s="64" t="s">
        <v>44</v>
      </c>
      <c r="K38" s="76" t="s">
        <v>31</v>
      </c>
      <c r="L38" s="76">
        <v>15000</v>
      </c>
      <c r="M38" s="188" t="s">
        <v>45</v>
      </c>
      <c r="N38" s="224"/>
      <c r="O38" s="62"/>
      <c r="P38" s="18"/>
    </row>
    <row r="39" spans="1:16" ht="19.5" customHeight="1">
      <c r="A39" s="18"/>
      <c r="B39" s="71"/>
      <c r="C39" s="75" t="str">
        <f>'Cost Breakdown Structure'!C20</f>
        <v>Framing</v>
      </c>
      <c r="D39" s="76">
        <f>'Cost Breakdown Structure'!D20</f>
        <v>3800</v>
      </c>
      <c r="E39" s="76">
        <f>'Cost Breakdown Structure'!D32</f>
        <v>0</v>
      </c>
      <c r="F39" s="76">
        <f>'Cost Breakdown Structure'!D44</f>
        <v>3500</v>
      </c>
      <c r="G39" s="77">
        <f t="shared" si="0"/>
        <v>7300</v>
      </c>
      <c r="H39" s="18"/>
      <c r="I39" s="18"/>
      <c r="J39" s="64" t="s">
        <v>46</v>
      </c>
      <c r="K39" s="76" t="s">
        <v>31</v>
      </c>
      <c r="L39" s="76">
        <v>13000</v>
      </c>
      <c r="M39" s="188"/>
      <c r="N39" s="224"/>
      <c r="O39" s="62"/>
      <c r="P39" s="18"/>
    </row>
    <row r="40" spans="1:16" ht="19.5" customHeight="1">
      <c r="A40" s="18"/>
      <c r="B40" s="71"/>
      <c r="C40" s="75" t="str">
        <f>'Cost Breakdown Structure'!C21</f>
        <v>Roofing</v>
      </c>
      <c r="D40" s="76">
        <f>'Cost Breakdown Structure'!D21</f>
        <v>3400</v>
      </c>
      <c r="E40" s="76">
        <f>'Cost Breakdown Structure'!D33</f>
        <v>0</v>
      </c>
      <c r="F40" s="76">
        <f>'Cost Breakdown Structure'!D45</f>
        <v>4200</v>
      </c>
      <c r="G40" s="77">
        <f t="shared" si="0"/>
        <v>7600</v>
      </c>
      <c r="H40" s="18"/>
      <c r="I40" s="18"/>
      <c r="J40" s="64" t="s">
        <v>47</v>
      </c>
      <c r="K40" s="76">
        <v>20000</v>
      </c>
      <c r="L40" s="76" t="s">
        <v>31</v>
      </c>
      <c r="M40" s="188"/>
      <c r="N40" s="224"/>
      <c r="O40" s="62"/>
      <c r="P40" s="18"/>
    </row>
    <row r="41" spans="1:16" ht="19.5" customHeight="1">
      <c r="A41" s="18"/>
      <c r="B41" s="71"/>
      <c r="C41" s="75" t="str">
        <f>'Cost Breakdown Structure'!C22</f>
        <v>Plumbing</v>
      </c>
      <c r="D41" s="76">
        <f>'Cost Breakdown Structure'!D22</f>
        <v>3500</v>
      </c>
      <c r="E41" s="76">
        <f>'Cost Breakdown Structure'!D34</f>
        <v>0</v>
      </c>
      <c r="F41" s="76">
        <f>'Cost Breakdown Structure'!D46</f>
        <v>3500</v>
      </c>
      <c r="G41" s="77">
        <f t="shared" si="0"/>
        <v>7000</v>
      </c>
      <c r="H41" s="18"/>
      <c r="I41" s="18"/>
      <c r="J41" s="64" t="s">
        <v>48</v>
      </c>
      <c r="K41" s="76" t="s">
        <v>31</v>
      </c>
      <c r="L41" s="76">
        <v>10000</v>
      </c>
      <c r="M41" s="188"/>
      <c r="N41" s="224"/>
      <c r="O41" s="62"/>
      <c r="P41" s="18"/>
    </row>
    <row r="42" spans="1:16" ht="19.5" customHeight="1">
      <c r="A42" s="18"/>
      <c r="B42" s="71"/>
      <c r="C42" s="75" t="str">
        <f>'Cost Breakdown Structure'!C23</f>
        <v>Electrical</v>
      </c>
      <c r="D42" s="76">
        <f>'Cost Breakdown Structure'!D23</f>
        <v>4300</v>
      </c>
      <c r="E42" s="76">
        <f>'Cost Breakdown Structure'!D35</f>
        <v>0</v>
      </c>
      <c r="F42" s="76">
        <f>'Cost Breakdown Structure'!D47</f>
        <v>3500</v>
      </c>
      <c r="G42" s="77">
        <f t="shared" si="0"/>
        <v>7800</v>
      </c>
      <c r="H42" s="18"/>
      <c r="I42" s="18"/>
      <c r="J42" s="64" t="s">
        <v>49</v>
      </c>
      <c r="K42" s="76" t="s">
        <v>31</v>
      </c>
      <c r="L42" s="76" t="s">
        <v>31</v>
      </c>
      <c r="M42" s="188"/>
      <c r="N42" s="224"/>
      <c r="O42" s="62"/>
      <c r="P42" s="18"/>
    </row>
    <row r="43" spans="1:16" ht="19.5" customHeight="1">
      <c r="A43" s="18"/>
      <c r="B43" s="71"/>
      <c r="C43" s="75" t="str">
        <f>'Cost Breakdown Structure'!C24</f>
        <v>HVAC</v>
      </c>
      <c r="D43" s="76">
        <f>'Cost Breakdown Structure'!D24</f>
        <v>3500</v>
      </c>
      <c r="E43" s="76">
        <f>'Cost Breakdown Structure'!D36</f>
        <v>0</v>
      </c>
      <c r="F43" s="76">
        <f>'Cost Breakdown Structure'!D48</f>
        <v>3500</v>
      </c>
      <c r="G43" s="77">
        <f t="shared" si="0"/>
        <v>7000</v>
      </c>
      <c r="H43" s="18"/>
      <c r="I43" s="18"/>
      <c r="J43" s="64" t="s">
        <v>50</v>
      </c>
      <c r="K43" s="76">
        <v>20000</v>
      </c>
      <c r="L43" s="76">
        <v>5000</v>
      </c>
      <c r="M43" s="188"/>
      <c r="N43" s="224"/>
      <c r="O43" s="62"/>
      <c r="P43" s="18"/>
    </row>
    <row r="44" spans="1:16" ht="19.5" customHeight="1">
      <c r="A44" s="18"/>
      <c r="B44" s="71"/>
      <c r="C44" s="75" t="str">
        <f>'Cost Breakdown Structure'!C25</f>
        <v>Insulation</v>
      </c>
      <c r="D44" s="76">
        <f>'Cost Breakdown Structure'!D25</f>
        <v>3500</v>
      </c>
      <c r="E44" s="76">
        <f>'Cost Breakdown Structure'!D37</f>
        <v>600</v>
      </c>
      <c r="F44" s="76">
        <f>'Cost Breakdown Structure'!D49</f>
        <v>4300</v>
      </c>
      <c r="G44" s="77">
        <f t="shared" si="0"/>
        <v>8400</v>
      </c>
      <c r="H44" s="18"/>
      <c r="I44" s="18"/>
      <c r="J44" s="64" t="s">
        <v>51</v>
      </c>
      <c r="K44" s="76" t="s">
        <v>31</v>
      </c>
      <c r="L44" s="76">
        <v>6000</v>
      </c>
      <c r="M44" s="188"/>
      <c r="N44" s="224"/>
      <c r="O44" s="62"/>
      <c r="P44" s="18"/>
    </row>
    <row r="45" spans="1:16" ht="19.5" customHeight="1">
      <c r="A45" s="18"/>
      <c r="B45" s="71"/>
      <c r="C45" s="75" t="str">
        <f>'Cost Breakdown Structure'!C26</f>
        <v>Drywall</v>
      </c>
      <c r="D45" s="76">
        <f>'Cost Breakdown Structure'!D26</f>
        <v>4200</v>
      </c>
      <c r="E45" s="76">
        <f>'Cost Breakdown Structure'!D38</f>
        <v>4300</v>
      </c>
      <c r="F45" s="76">
        <f>'Cost Breakdown Structure'!D50</f>
        <v>3500</v>
      </c>
      <c r="G45" s="77">
        <f t="shared" si="0"/>
        <v>12000</v>
      </c>
      <c r="H45" s="18"/>
      <c r="I45" s="18"/>
      <c r="J45" s="64" t="s">
        <v>52</v>
      </c>
      <c r="K45" s="76" t="s">
        <v>31</v>
      </c>
      <c r="L45" s="76">
        <v>8000</v>
      </c>
      <c r="M45" s="188"/>
      <c r="N45" s="224"/>
      <c r="O45" s="62"/>
      <c r="P45" s="18"/>
    </row>
    <row r="46" spans="1:16" ht="19.5" customHeight="1">
      <c r="A46" s="18"/>
      <c r="B46" s="71"/>
      <c r="C46" s="75" t="str">
        <f>'Cost Breakdown Structure'!C27</f>
        <v>Flooring</v>
      </c>
      <c r="D46" s="76">
        <f>'Cost Breakdown Structure'!D27</f>
        <v>3500</v>
      </c>
      <c r="E46" s="76">
        <f>'Cost Breakdown Structure'!D39</f>
        <v>3500</v>
      </c>
      <c r="F46" s="76">
        <f>'Cost Breakdown Structure'!D51</f>
        <v>4100</v>
      </c>
      <c r="G46" s="77">
        <f t="shared" si="0"/>
        <v>11100</v>
      </c>
      <c r="H46" s="18"/>
      <c r="I46" s="18"/>
      <c r="J46" s="64" t="s">
        <v>53</v>
      </c>
      <c r="K46" s="76">
        <v>10000</v>
      </c>
      <c r="L46" s="76">
        <v>2000</v>
      </c>
      <c r="M46" s="188"/>
      <c r="N46" s="224"/>
      <c r="O46" s="62"/>
      <c r="P46" s="18"/>
    </row>
    <row r="47" spans="1:16" ht="19.5" customHeight="1">
      <c r="A47" s="18"/>
      <c r="B47" s="71"/>
      <c r="C47" s="75">
        <f>'Cost Breakdown Structure'!C28</f>
        <v>0</v>
      </c>
      <c r="D47" s="76">
        <f>'Cost Breakdown Structure'!D28</f>
        <v>0</v>
      </c>
      <c r="E47" s="76">
        <f>'Cost Breakdown Structure'!D40</f>
        <v>0</v>
      </c>
      <c r="F47" s="76">
        <f>'Cost Breakdown Structure'!D52</f>
        <v>0</v>
      </c>
      <c r="G47" s="77">
        <f t="shared" si="0"/>
        <v>0</v>
      </c>
      <c r="H47" s="18"/>
      <c r="I47" s="18"/>
      <c r="J47" s="64" t="s">
        <v>54</v>
      </c>
      <c r="K47" s="76" t="s">
        <v>31</v>
      </c>
      <c r="L47" s="76">
        <v>1000</v>
      </c>
      <c r="M47" s="188"/>
      <c r="N47" s="224"/>
      <c r="O47" s="62"/>
      <c r="P47" s="18"/>
    </row>
    <row r="48" spans="1:16" ht="19.5" customHeight="1">
      <c r="A48" s="78"/>
      <c r="B48" s="79"/>
      <c r="C48" s="80">
        <f>'Cost Breakdown Structure'!C28</f>
        <v>0</v>
      </c>
      <c r="D48" s="81">
        <f>'Cost Breakdown Structure'!D28</f>
        <v>0</v>
      </c>
      <c r="E48" s="81">
        <f>'Cost Breakdown Structure'!D40</f>
        <v>0</v>
      </c>
      <c r="F48" s="81">
        <f>'Cost Breakdown Structure'!D52</f>
        <v>0</v>
      </c>
      <c r="G48" s="82">
        <f t="shared" si="0"/>
        <v>0</v>
      </c>
      <c r="H48" s="18"/>
      <c r="I48" s="18"/>
      <c r="J48" s="65" t="s">
        <v>55</v>
      </c>
      <c r="K48" s="81" t="s">
        <v>31</v>
      </c>
      <c r="L48" s="81">
        <v>10000</v>
      </c>
      <c r="M48" s="190"/>
      <c r="N48" s="226"/>
      <c r="O48" s="62"/>
      <c r="P48" s="18"/>
    </row>
    <row r="49" spans="1:16" ht="19.5" customHeight="1">
      <c r="A49" s="18"/>
      <c r="B49" s="71"/>
      <c r="C49" s="83" t="s">
        <v>25</v>
      </c>
      <c r="D49" s="84">
        <f t="shared" ref="D49:G49" si="1">SUM(D37:D48)</f>
        <v>38100</v>
      </c>
      <c r="E49" s="84">
        <f t="shared" si="1"/>
        <v>16100</v>
      </c>
      <c r="F49" s="84">
        <f t="shared" si="1"/>
        <v>37700</v>
      </c>
      <c r="G49" s="84">
        <f t="shared" si="1"/>
        <v>91900</v>
      </c>
      <c r="H49" s="18"/>
      <c r="I49" s="18"/>
      <c r="J49" s="83" t="s">
        <v>25</v>
      </c>
      <c r="K49" s="84">
        <f t="shared" ref="K49:L49" si="2">SUM(K37:K48)</f>
        <v>100000</v>
      </c>
      <c r="L49" s="84">
        <f t="shared" si="2"/>
        <v>70000</v>
      </c>
      <c r="M49" s="187"/>
      <c r="N49" s="220"/>
      <c r="O49" s="62"/>
      <c r="P49" s="18"/>
    </row>
    <row r="50" spans="1:16" ht="19.5" customHeight="1">
      <c r="A50" s="30"/>
      <c r="B50" s="69"/>
      <c r="H50" s="18"/>
      <c r="I50" s="18"/>
      <c r="O50" s="62"/>
      <c r="P50" s="18"/>
    </row>
    <row r="51" spans="1:16" ht="15">
      <c r="A51" s="2"/>
      <c r="B51" s="56"/>
      <c r="C51" s="2"/>
      <c r="D51" s="2"/>
      <c r="E51" s="2"/>
      <c r="F51" s="2"/>
      <c r="G51" s="2"/>
      <c r="H51" s="2"/>
      <c r="I51" s="2"/>
      <c r="J51" s="2"/>
      <c r="K51" s="2"/>
      <c r="L51" s="2"/>
      <c r="M51" s="2"/>
      <c r="N51" s="2"/>
      <c r="O51" s="51"/>
      <c r="P51" s="2"/>
    </row>
    <row r="52" spans="1:16">
      <c r="A52" s="85"/>
      <c r="B52" s="86"/>
      <c r="C52" s="87"/>
      <c r="D52" s="87"/>
      <c r="E52" s="87"/>
      <c r="F52" s="87"/>
      <c r="G52" s="87"/>
      <c r="H52" s="88"/>
      <c r="I52" s="87"/>
      <c r="J52" s="88"/>
      <c r="K52" s="87"/>
      <c r="L52" s="88"/>
      <c r="M52" s="87"/>
      <c r="N52" s="88"/>
      <c r="O52" s="89"/>
      <c r="P52" s="2"/>
    </row>
    <row r="53" spans="1:16">
      <c r="A53" s="1"/>
      <c r="B53" s="1"/>
      <c r="H53" s="2"/>
      <c r="I53" s="2"/>
      <c r="J53" s="2"/>
      <c r="K53" s="2"/>
      <c r="L53" s="2"/>
      <c r="M53" s="2"/>
      <c r="N53" s="2"/>
      <c r="O53" s="2"/>
      <c r="P53" s="2"/>
    </row>
  </sheetData>
  <mergeCells count="51">
    <mergeCell ref="C12:G12"/>
    <mergeCell ref="D15:E15"/>
    <mergeCell ref="F15:G15"/>
    <mergeCell ref="D16:E16"/>
    <mergeCell ref="F16:G16"/>
    <mergeCell ref="D17:E17"/>
    <mergeCell ref="F17:G17"/>
    <mergeCell ref="D18:E18"/>
    <mergeCell ref="F18:G18"/>
    <mergeCell ref="D19:E19"/>
    <mergeCell ref="F19:G19"/>
    <mergeCell ref="D20:E20"/>
    <mergeCell ref="F20:G20"/>
    <mergeCell ref="F21:G21"/>
    <mergeCell ref="F22:G22"/>
    <mergeCell ref="D21:E21"/>
    <mergeCell ref="C22:E22"/>
    <mergeCell ref="C25:E25"/>
    <mergeCell ref="F25:G25"/>
    <mergeCell ref="C26:E26"/>
    <mergeCell ref="F26:G26"/>
    <mergeCell ref="F27:G27"/>
    <mergeCell ref="C27:E27"/>
    <mergeCell ref="C28:E28"/>
    <mergeCell ref="F28:G28"/>
    <mergeCell ref="C29:E29"/>
    <mergeCell ref="F29:G29"/>
    <mergeCell ref="C30:E30"/>
    <mergeCell ref="F30:G30"/>
    <mergeCell ref="M48:N48"/>
    <mergeCell ref="C31:E31"/>
    <mergeCell ref="F31:G31"/>
    <mergeCell ref="C32:E32"/>
    <mergeCell ref="F32:G32"/>
    <mergeCell ref="M36:N36"/>
    <mergeCell ref="N12:N14"/>
    <mergeCell ref="N17:N19"/>
    <mergeCell ref="N23:N25"/>
    <mergeCell ref="N29:N31"/>
    <mergeCell ref="M49:N49"/>
    <mergeCell ref="M39:N39"/>
    <mergeCell ref="M40:N40"/>
    <mergeCell ref="M41:N41"/>
    <mergeCell ref="M42:N42"/>
    <mergeCell ref="M43:N43"/>
    <mergeCell ref="M44:N44"/>
    <mergeCell ref="M45:N45"/>
    <mergeCell ref="M37:N37"/>
    <mergeCell ref="M38:N38"/>
    <mergeCell ref="M46:N46"/>
    <mergeCell ref="M47:N47"/>
  </mergeCells>
  <printOptions horizontalCentered="1" gridLines="1"/>
  <pageMargins left="0.7" right="0.7" top="0.75" bottom="0.75" header="0" footer="0"/>
  <pageSetup pageOrder="overThenDown" orientation="landscape" cellComments="atEnd"/>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Q53"/>
  <sheetViews>
    <sheetView showGridLines="0" topLeftCell="F1" workbookViewId="0">
      <selection activeCell="R9" sqref="R9"/>
    </sheetView>
  </sheetViews>
  <sheetFormatPr defaultColWidth="12.5703125" defaultRowHeight="15.75" customHeight="1"/>
  <cols>
    <col min="1" max="1" width="4.28515625" customWidth="1"/>
    <col min="2" max="2" width="4.85546875" customWidth="1"/>
    <col min="3" max="3" width="18.42578125" customWidth="1"/>
    <col min="4" max="16" width="19.140625" customWidth="1"/>
    <col min="17" max="17" width="4.28515625" customWidth="1"/>
  </cols>
  <sheetData>
    <row r="1" spans="1:17" ht="15">
      <c r="A1" s="2"/>
      <c r="B1" s="2"/>
      <c r="C1" s="2"/>
      <c r="D1" s="2"/>
      <c r="E1" s="2"/>
      <c r="F1" s="2"/>
      <c r="G1" s="2"/>
      <c r="H1" s="2"/>
      <c r="I1" s="2"/>
      <c r="J1" s="2"/>
      <c r="K1" s="2"/>
      <c r="L1" s="2"/>
      <c r="M1" s="2"/>
      <c r="N1" s="2"/>
      <c r="O1" s="2"/>
      <c r="P1" s="2"/>
      <c r="Q1" s="2"/>
    </row>
    <row r="2" spans="1:17" ht="30.75" customHeight="1">
      <c r="A2" s="2"/>
      <c r="B2" s="90" t="s">
        <v>56</v>
      </c>
      <c r="C2" s="91"/>
      <c r="D2" s="91"/>
      <c r="E2" s="91"/>
      <c r="F2" s="91"/>
      <c r="G2" s="91"/>
      <c r="H2" s="91"/>
      <c r="I2" s="91"/>
      <c r="J2" s="91"/>
      <c r="K2" s="91"/>
      <c r="L2" s="91"/>
      <c r="M2" s="91"/>
      <c r="N2" s="91"/>
      <c r="O2" s="91"/>
      <c r="P2" s="91"/>
      <c r="Q2" s="2"/>
    </row>
    <row r="3" spans="1:17" ht="8.25" customHeight="1">
      <c r="A3" s="2"/>
      <c r="B3" s="2"/>
      <c r="C3" s="2"/>
      <c r="D3" s="2"/>
      <c r="E3" s="2"/>
      <c r="F3" s="2"/>
      <c r="G3" s="2"/>
      <c r="H3" s="2"/>
      <c r="I3" s="2"/>
      <c r="J3" s="2"/>
      <c r="K3" s="2"/>
      <c r="L3" s="2"/>
      <c r="M3" s="2"/>
      <c r="N3" s="2"/>
      <c r="O3" s="2"/>
      <c r="P3" s="2"/>
      <c r="Q3" s="2"/>
    </row>
    <row r="4" spans="1:17" ht="25.5" customHeight="1">
      <c r="A4" s="92"/>
      <c r="B4" s="93"/>
      <c r="C4" s="209" t="s">
        <v>57</v>
      </c>
      <c r="D4" s="217"/>
      <c r="E4" s="210">
        <v>47721</v>
      </c>
      <c r="F4" s="234"/>
      <c r="G4" s="94"/>
      <c r="H4" s="94"/>
      <c r="I4" s="94"/>
      <c r="J4" s="94"/>
      <c r="K4" s="94"/>
      <c r="L4" s="94"/>
      <c r="M4" s="94"/>
      <c r="N4" s="94"/>
      <c r="O4" s="95"/>
      <c r="P4" s="95"/>
      <c r="Q4" s="92"/>
    </row>
    <row r="5" spans="1:17" ht="8.25" customHeight="1">
      <c r="A5" s="96"/>
      <c r="B5" s="97"/>
      <c r="C5" s="97"/>
      <c r="D5" s="97"/>
      <c r="E5" s="98"/>
      <c r="F5" s="98"/>
      <c r="G5" s="99"/>
      <c r="H5" s="99"/>
      <c r="I5" s="99"/>
      <c r="J5" s="99"/>
      <c r="K5" s="99"/>
      <c r="L5" s="99"/>
      <c r="M5" s="99"/>
      <c r="N5" s="99"/>
      <c r="O5" s="95"/>
      <c r="P5" s="95"/>
      <c r="Q5" s="96"/>
    </row>
    <row r="6" spans="1:17" ht="25.5" customHeight="1">
      <c r="A6" s="92"/>
      <c r="B6" s="93"/>
      <c r="C6" s="209" t="s">
        <v>58</v>
      </c>
      <c r="D6" s="217"/>
      <c r="E6" s="211" t="s">
        <v>59</v>
      </c>
      <c r="F6" s="234"/>
      <c r="G6" s="94"/>
      <c r="H6" s="94"/>
      <c r="I6" s="94"/>
      <c r="J6" s="94"/>
      <c r="K6" s="94"/>
      <c r="L6" s="94"/>
      <c r="M6" s="94"/>
      <c r="N6" s="94"/>
      <c r="O6" s="95"/>
      <c r="P6" s="95"/>
      <c r="Q6" s="92"/>
    </row>
    <row r="7" spans="1:17" ht="8.25" customHeight="1">
      <c r="A7" s="96"/>
      <c r="B7" s="97"/>
      <c r="C7" s="97"/>
      <c r="D7" s="97"/>
      <c r="E7" s="98"/>
      <c r="F7" s="98"/>
      <c r="G7" s="99"/>
      <c r="H7" s="99"/>
      <c r="I7" s="99"/>
      <c r="J7" s="99"/>
      <c r="K7" s="99"/>
      <c r="L7" s="99"/>
      <c r="M7" s="99"/>
      <c r="N7" s="99"/>
      <c r="O7" s="95"/>
      <c r="P7" s="95"/>
      <c r="Q7" s="96"/>
    </row>
    <row r="8" spans="1:17" ht="25.5" customHeight="1">
      <c r="A8" s="92"/>
      <c r="B8" s="93"/>
      <c r="C8" s="209" t="s">
        <v>60</v>
      </c>
      <c r="D8" s="217"/>
      <c r="E8" s="212">
        <f>E4</f>
        <v>47721</v>
      </c>
      <c r="F8" s="234"/>
      <c r="G8" s="94"/>
      <c r="H8" s="94"/>
      <c r="I8" s="94"/>
      <c r="J8" s="94"/>
      <c r="K8" s="94"/>
      <c r="L8" s="94"/>
      <c r="M8" s="94"/>
      <c r="N8" s="94"/>
      <c r="O8" s="95"/>
      <c r="P8" s="95"/>
      <c r="Q8" s="92"/>
    </row>
    <row r="9" spans="1:17" ht="31.5" customHeight="1">
      <c r="A9" s="96"/>
      <c r="B9" s="100"/>
      <c r="C9" s="100"/>
      <c r="D9" s="99"/>
      <c r="E9" s="99"/>
      <c r="F9" s="99"/>
      <c r="G9" s="99"/>
      <c r="H9" s="99"/>
      <c r="I9" s="99"/>
      <c r="J9" s="99"/>
      <c r="K9" s="99"/>
      <c r="L9" s="99"/>
      <c r="M9" s="99"/>
      <c r="N9" s="99"/>
      <c r="O9" s="95"/>
      <c r="P9" s="95"/>
      <c r="Q9" s="96"/>
    </row>
    <row r="10" spans="1:17" ht="31.5" customHeight="1">
      <c r="A10" s="96"/>
      <c r="B10" s="101"/>
      <c r="C10" s="101"/>
      <c r="D10" s="102"/>
      <c r="E10" s="102"/>
      <c r="F10" s="102"/>
      <c r="G10" s="102"/>
      <c r="H10" s="102"/>
      <c r="I10" s="102"/>
      <c r="J10" s="102"/>
      <c r="K10" s="102"/>
      <c r="L10" s="102"/>
      <c r="M10" s="102"/>
      <c r="N10" s="102"/>
      <c r="O10" s="95"/>
      <c r="P10" s="95"/>
      <c r="Q10" s="96"/>
    </row>
    <row r="11" spans="1:17" ht="31.5" customHeight="1">
      <c r="A11" s="96"/>
      <c r="B11" s="101"/>
      <c r="C11" s="101"/>
      <c r="D11" s="102"/>
      <c r="E11" s="102"/>
      <c r="F11" s="102"/>
      <c r="G11" s="102"/>
      <c r="H11" s="102"/>
      <c r="I11" s="102"/>
      <c r="J11" s="102"/>
      <c r="K11" s="102"/>
      <c r="L11" s="102"/>
      <c r="M11" s="102"/>
      <c r="N11" s="102"/>
      <c r="O11" s="95"/>
      <c r="P11" s="95"/>
      <c r="Q11" s="96"/>
    </row>
    <row r="12" spans="1:17" ht="18">
      <c r="A12" s="96"/>
      <c r="B12" s="101"/>
      <c r="C12" s="103" t="s">
        <v>61</v>
      </c>
      <c r="D12" s="104" t="str">
        <f t="array" ref="D12:N12">TRANSPOSE(C18:C28)</f>
        <v>Excavation</v>
      </c>
      <c r="E12" s="104" t="str">
        <v>Foundation</v>
      </c>
      <c r="F12" s="104" t="str">
        <v>Framing</v>
      </c>
      <c r="G12" s="104" t="str">
        <v>Roofing</v>
      </c>
      <c r="H12" s="104" t="str">
        <v>Plumbing</v>
      </c>
      <c r="I12" s="104" t="str">
        <v>Electrical</v>
      </c>
      <c r="J12" s="104" t="str">
        <v>HVAC</v>
      </c>
      <c r="K12" s="104" t="str">
        <v>Insulation</v>
      </c>
      <c r="L12" s="104" t="str">
        <v>Drywall</v>
      </c>
      <c r="M12" s="104" t="str">
        <v>Flooring</v>
      </c>
      <c r="N12" s="105">
        <v>0</v>
      </c>
      <c r="O12" s="207" t="s">
        <v>62</v>
      </c>
      <c r="P12" s="217"/>
      <c r="Q12" s="96"/>
    </row>
    <row r="13" spans="1:17">
      <c r="A13" s="2"/>
      <c r="B13" s="106"/>
      <c r="C13" s="107" t="s">
        <v>63</v>
      </c>
      <c r="D13" s="108">
        <f t="array" ref="D13:N13">TRANSPOSE(D18:D28)</f>
        <v>4300</v>
      </c>
      <c r="E13" s="108">
        <v>4100</v>
      </c>
      <c r="F13" s="108">
        <v>3800</v>
      </c>
      <c r="G13" s="108">
        <v>3400</v>
      </c>
      <c r="H13" s="108">
        <v>3500</v>
      </c>
      <c r="I13" s="108">
        <v>4300</v>
      </c>
      <c r="J13" s="108">
        <v>3500</v>
      </c>
      <c r="K13" s="108">
        <v>3500</v>
      </c>
      <c r="L13" s="108">
        <v>4200</v>
      </c>
      <c r="M13" s="108">
        <v>3500</v>
      </c>
      <c r="N13" s="109">
        <v>0</v>
      </c>
      <c r="O13" s="213">
        <f t="shared" ref="O13:O15" si="0">SUM(D13:N13)</f>
        <v>38100</v>
      </c>
      <c r="P13" s="234"/>
      <c r="Q13" s="2"/>
    </row>
    <row r="14" spans="1:17">
      <c r="A14" s="2"/>
      <c r="B14" s="106"/>
      <c r="C14" s="107" t="s">
        <v>64</v>
      </c>
      <c r="D14" s="110">
        <f t="array" ref="D14:N14">TRANSPOSE(D30:D40)</f>
        <v>4200</v>
      </c>
      <c r="E14" s="110">
        <v>3500</v>
      </c>
      <c r="F14" s="110">
        <v>0</v>
      </c>
      <c r="G14" s="110">
        <v>0</v>
      </c>
      <c r="H14" s="110">
        <v>0</v>
      </c>
      <c r="I14" s="110">
        <v>0</v>
      </c>
      <c r="J14" s="110">
        <v>0</v>
      </c>
      <c r="K14" s="110">
        <v>600</v>
      </c>
      <c r="L14" s="110">
        <v>4300</v>
      </c>
      <c r="M14" s="110">
        <v>3500</v>
      </c>
      <c r="N14" s="111">
        <v>0</v>
      </c>
      <c r="O14" s="213">
        <f t="shared" si="0"/>
        <v>16100</v>
      </c>
      <c r="P14" s="234"/>
      <c r="Q14" s="2"/>
    </row>
    <row r="15" spans="1:17">
      <c r="A15" s="2"/>
      <c r="B15" s="106"/>
      <c r="C15" s="112" t="s">
        <v>65</v>
      </c>
      <c r="D15" s="113">
        <f t="array" ref="D15:N15">TRANSPOSE(D42:D52)</f>
        <v>4100</v>
      </c>
      <c r="E15" s="113">
        <v>3500</v>
      </c>
      <c r="F15" s="113">
        <v>3500</v>
      </c>
      <c r="G15" s="113">
        <v>4200</v>
      </c>
      <c r="H15" s="113">
        <v>3500</v>
      </c>
      <c r="I15" s="113">
        <v>3500</v>
      </c>
      <c r="J15" s="113">
        <v>3500</v>
      </c>
      <c r="K15" s="113">
        <v>4300</v>
      </c>
      <c r="L15" s="113">
        <v>3500</v>
      </c>
      <c r="M15" s="113">
        <v>4100</v>
      </c>
      <c r="N15" s="114">
        <v>0</v>
      </c>
      <c r="O15" s="213">
        <f t="shared" si="0"/>
        <v>37700</v>
      </c>
      <c r="P15" s="234"/>
      <c r="Q15" s="2"/>
    </row>
    <row r="16" spans="1:17" ht="15">
      <c r="A16" s="2"/>
      <c r="B16" s="2"/>
      <c r="C16" s="2"/>
      <c r="D16" s="2"/>
      <c r="E16" s="2"/>
      <c r="F16" s="2"/>
      <c r="G16" s="2"/>
      <c r="H16" s="2"/>
      <c r="I16" s="2"/>
      <c r="J16" s="2"/>
      <c r="K16" s="2"/>
      <c r="L16" s="2"/>
      <c r="M16" s="2"/>
      <c r="N16" s="2"/>
      <c r="O16" s="2"/>
      <c r="P16" s="2"/>
      <c r="Q16" s="2"/>
    </row>
    <row r="17" spans="1:17">
      <c r="A17" s="2"/>
      <c r="B17" s="208" t="s">
        <v>66</v>
      </c>
      <c r="C17" s="115" t="s">
        <v>14</v>
      </c>
      <c r="D17" s="116" t="s">
        <v>67</v>
      </c>
      <c r="E17" s="117">
        <v>44927</v>
      </c>
      <c r="F17" s="117">
        <v>44958</v>
      </c>
      <c r="G17" s="117">
        <v>44986</v>
      </c>
      <c r="H17" s="117">
        <v>45017</v>
      </c>
      <c r="I17" s="117">
        <v>45047</v>
      </c>
      <c r="J17" s="117">
        <v>45078</v>
      </c>
      <c r="K17" s="117">
        <v>45108</v>
      </c>
      <c r="L17" s="117">
        <v>45139</v>
      </c>
      <c r="M17" s="117">
        <v>45170</v>
      </c>
      <c r="N17" s="117">
        <v>45200</v>
      </c>
      <c r="O17" s="117">
        <v>45231</v>
      </c>
      <c r="P17" s="118">
        <v>45261</v>
      </c>
      <c r="Q17" s="2"/>
    </row>
    <row r="18" spans="1:17">
      <c r="A18" s="2"/>
      <c r="B18" s="235"/>
      <c r="C18" s="119" t="s">
        <v>68</v>
      </c>
      <c r="D18" s="120">
        <f t="shared" ref="D18:D27" si="1">SUM(E18:P18)</f>
        <v>4300</v>
      </c>
      <c r="E18" s="121">
        <v>1000</v>
      </c>
      <c r="F18" s="108">
        <v>100</v>
      </c>
      <c r="G18" s="108">
        <v>200</v>
      </c>
      <c r="H18" s="108">
        <v>300</v>
      </c>
      <c r="I18" s="108">
        <v>400</v>
      </c>
      <c r="J18" s="121">
        <v>200</v>
      </c>
      <c r="K18" s="108">
        <v>100</v>
      </c>
      <c r="L18" s="108">
        <v>200</v>
      </c>
      <c r="M18" s="108">
        <v>300</v>
      </c>
      <c r="N18" s="108">
        <v>400</v>
      </c>
      <c r="O18" s="108">
        <v>500</v>
      </c>
      <c r="P18" s="122">
        <v>600</v>
      </c>
      <c r="Q18" s="2"/>
    </row>
    <row r="19" spans="1:17">
      <c r="A19" s="2"/>
      <c r="B19" s="235"/>
      <c r="C19" s="123" t="s">
        <v>69</v>
      </c>
      <c r="D19" s="124">
        <f t="shared" si="1"/>
        <v>4100</v>
      </c>
      <c r="E19" s="110">
        <v>100</v>
      </c>
      <c r="F19" s="110">
        <v>800</v>
      </c>
      <c r="G19" s="110">
        <v>300</v>
      </c>
      <c r="H19" s="110">
        <v>400</v>
      </c>
      <c r="I19" s="110">
        <v>500</v>
      </c>
      <c r="J19" s="110">
        <v>600</v>
      </c>
      <c r="K19" s="110">
        <v>200</v>
      </c>
      <c r="L19" s="125">
        <v>100</v>
      </c>
      <c r="M19" s="110">
        <v>200</v>
      </c>
      <c r="N19" s="110">
        <v>300</v>
      </c>
      <c r="O19" s="110">
        <v>400</v>
      </c>
      <c r="P19" s="126">
        <v>200</v>
      </c>
      <c r="Q19" s="2"/>
    </row>
    <row r="20" spans="1:17">
      <c r="A20" s="2"/>
      <c r="B20" s="235"/>
      <c r="C20" s="123" t="s">
        <v>70</v>
      </c>
      <c r="D20" s="124">
        <f t="shared" si="1"/>
        <v>3800</v>
      </c>
      <c r="E20" s="125">
        <v>200</v>
      </c>
      <c r="F20" s="125">
        <v>100</v>
      </c>
      <c r="G20" s="110">
        <v>200</v>
      </c>
      <c r="H20" s="125">
        <v>600</v>
      </c>
      <c r="I20" s="110">
        <v>400</v>
      </c>
      <c r="J20" s="110">
        <v>200</v>
      </c>
      <c r="K20" s="110">
        <v>100</v>
      </c>
      <c r="L20" s="110">
        <v>200</v>
      </c>
      <c r="M20" s="110">
        <v>300</v>
      </c>
      <c r="N20" s="110">
        <v>400</v>
      </c>
      <c r="O20" s="110">
        <v>500</v>
      </c>
      <c r="P20" s="126">
        <v>600</v>
      </c>
      <c r="Q20" s="2"/>
    </row>
    <row r="21" spans="1:17">
      <c r="A21" s="2"/>
      <c r="B21" s="235"/>
      <c r="C21" s="123" t="s">
        <v>71</v>
      </c>
      <c r="D21" s="124">
        <f t="shared" si="1"/>
        <v>3400</v>
      </c>
      <c r="E21" s="125">
        <v>100</v>
      </c>
      <c r="F21" s="110">
        <v>200</v>
      </c>
      <c r="G21" s="110">
        <v>200</v>
      </c>
      <c r="H21" s="110">
        <v>400</v>
      </c>
      <c r="I21" s="110">
        <v>500</v>
      </c>
      <c r="J21" s="110">
        <v>600</v>
      </c>
      <c r="K21" s="110">
        <v>200</v>
      </c>
      <c r="L21" s="110">
        <v>100</v>
      </c>
      <c r="M21" s="110">
        <v>200</v>
      </c>
      <c r="N21" s="110">
        <v>300</v>
      </c>
      <c r="O21" s="110">
        <v>400</v>
      </c>
      <c r="P21" s="126">
        <v>200</v>
      </c>
      <c r="Q21" s="2"/>
    </row>
    <row r="22" spans="1:17">
      <c r="A22" s="2"/>
      <c r="B22" s="235"/>
      <c r="C22" s="123" t="s">
        <v>19</v>
      </c>
      <c r="D22" s="124">
        <f t="shared" si="1"/>
        <v>3500</v>
      </c>
      <c r="E22" s="110">
        <v>200</v>
      </c>
      <c r="F22" s="110">
        <v>100</v>
      </c>
      <c r="G22" s="110">
        <v>200</v>
      </c>
      <c r="H22" s="110">
        <v>300</v>
      </c>
      <c r="I22" s="110">
        <v>400</v>
      </c>
      <c r="J22" s="110">
        <v>200</v>
      </c>
      <c r="K22" s="110">
        <v>100</v>
      </c>
      <c r="L22" s="110">
        <v>200</v>
      </c>
      <c r="M22" s="110">
        <v>300</v>
      </c>
      <c r="N22" s="110">
        <v>400</v>
      </c>
      <c r="O22" s="110">
        <v>500</v>
      </c>
      <c r="P22" s="126">
        <v>600</v>
      </c>
      <c r="Q22" s="2"/>
    </row>
    <row r="23" spans="1:17">
      <c r="A23" s="2"/>
      <c r="B23" s="235"/>
      <c r="C23" s="123" t="s">
        <v>17</v>
      </c>
      <c r="D23" s="124">
        <f t="shared" si="1"/>
        <v>4300</v>
      </c>
      <c r="E23" s="110">
        <v>200</v>
      </c>
      <c r="F23" s="110">
        <v>400</v>
      </c>
      <c r="G23" s="125">
        <v>200</v>
      </c>
      <c r="H23" s="110">
        <v>300</v>
      </c>
      <c r="I23" s="110">
        <v>400</v>
      </c>
      <c r="J23" s="125">
        <v>200</v>
      </c>
      <c r="K23" s="110">
        <v>100</v>
      </c>
      <c r="L23" s="110">
        <v>700</v>
      </c>
      <c r="M23" s="125">
        <v>300</v>
      </c>
      <c r="N23" s="110">
        <v>400</v>
      </c>
      <c r="O23" s="110">
        <v>500</v>
      </c>
      <c r="P23" s="126">
        <v>600</v>
      </c>
      <c r="Q23" s="2"/>
    </row>
    <row r="24" spans="1:17">
      <c r="A24" s="2"/>
      <c r="B24" s="235"/>
      <c r="C24" s="123" t="s">
        <v>21</v>
      </c>
      <c r="D24" s="124">
        <f t="shared" si="1"/>
        <v>3500</v>
      </c>
      <c r="E24" s="125">
        <v>200</v>
      </c>
      <c r="F24" s="125">
        <v>100</v>
      </c>
      <c r="G24" s="110">
        <v>200</v>
      </c>
      <c r="H24" s="110">
        <v>300</v>
      </c>
      <c r="I24" s="110">
        <v>400</v>
      </c>
      <c r="J24" s="125">
        <v>200</v>
      </c>
      <c r="K24" s="110">
        <v>100</v>
      </c>
      <c r="L24" s="110">
        <v>200</v>
      </c>
      <c r="M24" s="125">
        <v>300</v>
      </c>
      <c r="N24" s="110">
        <v>400</v>
      </c>
      <c r="O24" s="110">
        <v>500</v>
      </c>
      <c r="P24" s="126">
        <v>600</v>
      </c>
      <c r="Q24" s="2"/>
    </row>
    <row r="25" spans="1:17">
      <c r="A25" s="2"/>
      <c r="B25" s="235"/>
      <c r="C25" s="123" t="s">
        <v>72</v>
      </c>
      <c r="D25" s="124">
        <f t="shared" si="1"/>
        <v>3500</v>
      </c>
      <c r="E25" s="110">
        <v>100</v>
      </c>
      <c r="F25" s="110">
        <v>200</v>
      </c>
      <c r="G25" s="110">
        <v>300</v>
      </c>
      <c r="H25" s="110">
        <v>400</v>
      </c>
      <c r="I25" s="110">
        <v>500</v>
      </c>
      <c r="J25" s="110">
        <v>600</v>
      </c>
      <c r="K25" s="110">
        <v>200</v>
      </c>
      <c r="L25" s="110">
        <v>100</v>
      </c>
      <c r="M25" s="110">
        <v>200</v>
      </c>
      <c r="N25" s="110">
        <v>300</v>
      </c>
      <c r="O25" s="110">
        <v>400</v>
      </c>
      <c r="P25" s="126">
        <v>200</v>
      </c>
      <c r="Q25" s="2"/>
    </row>
    <row r="26" spans="1:17">
      <c r="A26" s="2"/>
      <c r="B26" s="235"/>
      <c r="C26" s="123" t="s">
        <v>73</v>
      </c>
      <c r="D26" s="124">
        <f t="shared" si="1"/>
        <v>4200</v>
      </c>
      <c r="E26" s="125">
        <v>200</v>
      </c>
      <c r="F26" s="110">
        <v>100</v>
      </c>
      <c r="G26" s="110">
        <v>200</v>
      </c>
      <c r="H26" s="110">
        <v>300</v>
      </c>
      <c r="I26" s="110">
        <v>400</v>
      </c>
      <c r="J26" s="110">
        <v>900</v>
      </c>
      <c r="K26" s="110">
        <v>100</v>
      </c>
      <c r="L26" s="110">
        <v>200</v>
      </c>
      <c r="M26" s="110">
        <v>300</v>
      </c>
      <c r="N26" s="110">
        <v>400</v>
      </c>
      <c r="O26" s="110">
        <v>500</v>
      </c>
      <c r="P26" s="126">
        <v>600</v>
      </c>
      <c r="Q26" s="2"/>
    </row>
    <row r="27" spans="1:17">
      <c r="A27" s="2"/>
      <c r="B27" s="235"/>
      <c r="C27" s="127" t="s">
        <v>23</v>
      </c>
      <c r="D27" s="128">
        <f t="shared" si="1"/>
        <v>3500</v>
      </c>
      <c r="E27" s="129">
        <v>200</v>
      </c>
      <c r="F27" s="129">
        <v>100</v>
      </c>
      <c r="G27" s="129">
        <v>200</v>
      </c>
      <c r="H27" s="129">
        <v>300</v>
      </c>
      <c r="I27" s="129">
        <v>400</v>
      </c>
      <c r="J27" s="129">
        <v>200</v>
      </c>
      <c r="K27" s="129">
        <v>100</v>
      </c>
      <c r="L27" s="129">
        <v>200</v>
      </c>
      <c r="M27" s="129">
        <v>300</v>
      </c>
      <c r="N27" s="129">
        <v>400</v>
      </c>
      <c r="O27" s="129">
        <v>500</v>
      </c>
      <c r="P27" s="130">
        <v>600</v>
      </c>
      <c r="Q27" s="2"/>
    </row>
    <row r="28" spans="1:17">
      <c r="A28" s="2"/>
      <c r="B28" s="131"/>
      <c r="C28" s="132"/>
      <c r="D28" s="133"/>
      <c r="E28" s="134"/>
      <c r="F28" s="134"/>
      <c r="G28" s="134"/>
      <c r="H28" s="134"/>
      <c r="I28" s="134"/>
      <c r="J28" s="134"/>
      <c r="K28" s="134"/>
      <c r="L28" s="134"/>
      <c r="M28" s="134"/>
      <c r="N28" s="134"/>
      <c r="O28" s="134"/>
      <c r="P28" s="135"/>
      <c r="Q28" s="2"/>
    </row>
    <row r="29" spans="1:17">
      <c r="A29" s="2"/>
      <c r="B29" s="208" t="s">
        <v>64</v>
      </c>
      <c r="C29" s="115" t="s">
        <v>14</v>
      </c>
      <c r="D29" s="116" t="s">
        <v>67</v>
      </c>
      <c r="E29" s="117">
        <v>44927</v>
      </c>
      <c r="F29" s="117">
        <v>44958</v>
      </c>
      <c r="G29" s="117">
        <v>44986</v>
      </c>
      <c r="H29" s="117">
        <v>45017</v>
      </c>
      <c r="I29" s="117">
        <v>45047</v>
      </c>
      <c r="J29" s="117">
        <v>45078</v>
      </c>
      <c r="K29" s="117">
        <v>45108</v>
      </c>
      <c r="L29" s="117">
        <v>45139</v>
      </c>
      <c r="M29" s="117">
        <v>45170</v>
      </c>
      <c r="N29" s="117">
        <v>45200</v>
      </c>
      <c r="O29" s="117">
        <v>45231</v>
      </c>
      <c r="P29" s="118">
        <v>45261</v>
      </c>
      <c r="Q29" s="2"/>
    </row>
    <row r="30" spans="1:17">
      <c r="A30" s="2"/>
      <c r="B30" s="235"/>
      <c r="C30" s="136" t="str">
        <f t="shared" ref="C30:C39" si="2">C18</f>
        <v>Excavation</v>
      </c>
      <c r="D30" s="120">
        <f t="shared" ref="D30:D39" si="3">SUM(E30:P30)</f>
        <v>4200</v>
      </c>
      <c r="E30" s="121">
        <v>200</v>
      </c>
      <c r="F30" s="108">
        <v>100</v>
      </c>
      <c r="G30" s="108">
        <v>200</v>
      </c>
      <c r="H30" s="108">
        <v>300</v>
      </c>
      <c r="I30" s="108">
        <v>400</v>
      </c>
      <c r="J30" s="108">
        <v>200</v>
      </c>
      <c r="K30" s="108">
        <v>800</v>
      </c>
      <c r="L30" s="108">
        <v>200</v>
      </c>
      <c r="M30" s="108">
        <v>300</v>
      </c>
      <c r="N30" s="108">
        <v>400</v>
      </c>
      <c r="O30" s="108">
        <v>500</v>
      </c>
      <c r="P30" s="122">
        <v>600</v>
      </c>
      <c r="Q30" s="2"/>
    </row>
    <row r="31" spans="1:17">
      <c r="A31" s="2"/>
      <c r="B31" s="235"/>
      <c r="C31" s="136" t="str">
        <f t="shared" si="2"/>
        <v>Foundation</v>
      </c>
      <c r="D31" s="124">
        <f t="shared" si="3"/>
        <v>3500</v>
      </c>
      <c r="E31" s="110">
        <v>100</v>
      </c>
      <c r="F31" s="110">
        <v>200</v>
      </c>
      <c r="G31" s="110">
        <v>300</v>
      </c>
      <c r="H31" s="110">
        <v>400</v>
      </c>
      <c r="I31" s="110">
        <v>500</v>
      </c>
      <c r="J31" s="110">
        <v>600</v>
      </c>
      <c r="K31" s="110">
        <v>200</v>
      </c>
      <c r="L31" s="125">
        <v>100</v>
      </c>
      <c r="M31" s="110">
        <v>200</v>
      </c>
      <c r="N31" s="110">
        <v>300</v>
      </c>
      <c r="O31" s="110">
        <v>400</v>
      </c>
      <c r="P31" s="126">
        <v>200</v>
      </c>
      <c r="Q31" s="2"/>
    </row>
    <row r="32" spans="1:17">
      <c r="A32" s="2"/>
      <c r="B32" s="235"/>
      <c r="C32" s="136" t="str">
        <f t="shared" si="2"/>
        <v>Framing</v>
      </c>
      <c r="D32" s="124">
        <f t="shared" si="3"/>
        <v>0</v>
      </c>
      <c r="E32" s="125"/>
      <c r="F32" s="125"/>
      <c r="G32" s="110"/>
      <c r="H32" s="125"/>
      <c r="I32" s="110"/>
      <c r="J32" s="110"/>
      <c r="K32" s="110"/>
      <c r="L32" s="110"/>
      <c r="M32" s="110"/>
      <c r="N32" s="110"/>
      <c r="O32" s="110"/>
      <c r="P32" s="126"/>
      <c r="Q32" s="2"/>
    </row>
    <row r="33" spans="1:17">
      <c r="A33" s="2"/>
      <c r="B33" s="235"/>
      <c r="C33" s="136" t="str">
        <f t="shared" si="2"/>
        <v>Roofing</v>
      </c>
      <c r="D33" s="124">
        <f t="shared" si="3"/>
        <v>0</v>
      </c>
      <c r="E33" s="125"/>
      <c r="F33" s="110"/>
      <c r="G33" s="110"/>
      <c r="H33" s="110"/>
      <c r="I33" s="110"/>
      <c r="J33" s="110"/>
      <c r="K33" s="110"/>
      <c r="L33" s="110"/>
      <c r="M33" s="110"/>
      <c r="N33" s="110"/>
      <c r="O33" s="110"/>
      <c r="P33" s="126"/>
      <c r="Q33" s="2"/>
    </row>
    <row r="34" spans="1:17">
      <c r="A34" s="2"/>
      <c r="B34" s="235"/>
      <c r="C34" s="136" t="str">
        <f t="shared" si="2"/>
        <v>Plumbing</v>
      </c>
      <c r="D34" s="124">
        <f t="shared" si="3"/>
        <v>0</v>
      </c>
      <c r="E34" s="110"/>
      <c r="F34" s="110"/>
      <c r="G34" s="110"/>
      <c r="H34" s="110"/>
      <c r="I34" s="110"/>
      <c r="J34" s="110"/>
      <c r="K34" s="110"/>
      <c r="L34" s="110"/>
      <c r="M34" s="110"/>
      <c r="N34" s="110"/>
      <c r="O34" s="110"/>
      <c r="P34" s="126"/>
      <c r="Q34" s="2"/>
    </row>
    <row r="35" spans="1:17">
      <c r="A35" s="2"/>
      <c r="B35" s="235"/>
      <c r="C35" s="136" t="str">
        <f t="shared" si="2"/>
        <v>Electrical</v>
      </c>
      <c r="D35" s="124">
        <f t="shared" si="3"/>
        <v>0</v>
      </c>
      <c r="E35" s="110"/>
      <c r="F35" s="110"/>
      <c r="G35" s="125"/>
      <c r="H35" s="110"/>
      <c r="I35" s="110"/>
      <c r="J35" s="125"/>
      <c r="K35" s="110"/>
      <c r="L35" s="110"/>
      <c r="M35" s="125"/>
      <c r="N35" s="110"/>
      <c r="O35" s="110"/>
      <c r="P35" s="126"/>
      <c r="Q35" s="2"/>
    </row>
    <row r="36" spans="1:17">
      <c r="A36" s="2"/>
      <c r="B36" s="235"/>
      <c r="C36" s="136" t="str">
        <f t="shared" si="2"/>
        <v>HVAC</v>
      </c>
      <c r="D36" s="124">
        <f t="shared" si="3"/>
        <v>0</v>
      </c>
      <c r="E36" s="125"/>
      <c r="F36" s="125"/>
      <c r="G36" s="110"/>
      <c r="H36" s="110"/>
      <c r="I36" s="110"/>
      <c r="J36" s="125"/>
      <c r="K36" s="110"/>
      <c r="L36" s="110"/>
      <c r="M36" s="125"/>
      <c r="N36" s="110"/>
      <c r="O36" s="110"/>
      <c r="P36" s="126"/>
      <c r="Q36" s="2"/>
    </row>
    <row r="37" spans="1:17">
      <c r="A37" s="2"/>
      <c r="B37" s="235"/>
      <c r="C37" s="136" t="str">
        <f t="shared" si="2"/>
        <v>Insulation</v>
      </c>
      <c r="D37" s="124">
        <f t="shared" si="3"/>
        <v>600</v>
      </c>
      <c r="E37" s="110"/>
      <c r="F37" s="110"/>
      <c r="G37" s="110"/>
      <c r="H37" s="110"/>
      <c r="I37" s="110"/>
      <c r="J37" s="110"/>
      <c r="K37" s="110"/>
      <c r="L37" s="110"/>
      <c r="M37" s="110"/>
      <c r="N37" s="110"/>
      <c r="O37" s="110">
        <v>400</v>
      </c>
      <c r="P37" s="126">
        <v>200</v>
      </c>
      <c r="Q37" s="2"/>
    </row>
    <row r="38" spans="1:17">
      <c r="A38" s="2"/>
      <c r="B38" s="235"/>
      <c r="C38" s="136" t="str">
        <f t="shared" si="2"/>
        <v>Drywall</v>
      </c>
      <c r="D38" s="124">
        <f t="shared" si="3"/>
        <v>4300</v>
      </c>
      <c r="E38" s="125">
        <v>1000</v>
      </c>
      <c r="F38" s="110">
        <v>100</v>
      </c>
      <c r="G38" s="110">
        <v>200</v>
      </c>
      <c r="H38" s="110">
        <v>300</v>
      </c>
      <c r="I38" s="110">
        <v>400</v>
      </c>
      <c r="J38" s="110">
        <v>200</v>
      </c>
      <c r="K38" s="110">
        <v>100</v>
      </c>
      <c r="L38" s="110">
        <v>200</v>
      </c>
      <c r="M38" s="110">
        <v>300</v>
      </c>
      <c r="N38" s="110">
        <v>400</v>
      </c>
      <c r="O38" s="110">
        <v>500</v>
      </c>
      <c r="P38" s="126">
        <v>600</v>
      </c>
      <c r="Q38" s="2"/>
    </row>
    <row r="39" spans="1:17">
      <c r="A39" s="2"/>
      <c r="B39" s="235"/>
      <c r="C39" s="136" t="str">
        <f t="shared" si="2"/>
        <v>Flooring</v>
      </c>
      <c r="D39" s="124">
        <f t="shared" si="3"/>
        <v>3500</v>
      </c>
      <c r="E39" s="110">
        <v>200</v>
      </c>
      <c r="F39" s="110">
        <v>100</v>
      </c>
      <c r="G39" s="110">
        <v>200</v>
      </c>
      <c r="H39" s="110">
        <v>300</v>
      </c>
      <c r="I39" s="110">
        <v>400</v>
      </c>
      <c r="J39" s="110">
        <v>200</v>
      </c>
      <c r="K39" s="110">
        <v>100</v>
      </c>
      <c r="L39" s="110">
        <v>200</v>
      </c>
      <c r="M39" s="110">
        <v>300</v>
      </c>
      <c r="N39" s="110">
        <v>400</v>
      </c>
      <c r="O39" s="110">
        <v>500</v>
      </c>
      <c r="P39" s="126">
        <v>600</v>
      </c>
      <c r="Q39" s="2"/>
    </row>
    <row r="40" spans="1:17">
      <c r="A40" s="2"/>
      <c r="B40" s="2"/>
      <c r="C40" s="127"/>
      <c r="D40" s="137"/>
      <c r="E40" s="129"/>
      <c r="F40" s="129"/>
      <c r="G40" s="129"/>
      <c r="H40" s="129"/>
      <c r="I40" s="129"/>
      <c r="J40" s="129"/>
      <c r="K40" s="129"/>
      <c r="L40" s="129"/>
      <c r="M40" s="129"/>
      <c r="N40" s="129"/>
      <c r="O40" s="129"/>
      <c r="P40" s="130"/>
      <c r="Q40" s="2"/>
    </row>
    <row r="41" spans="1:17">
      <c r="A41" s="2"/>
      <c r="B41" s="208" t="s">
        <v>74</v>
      </c>
      <c r="C41" s="115" t="s">
        <v>14</v>
      </c>
      <c r="D41" s="116" t="s">
        <v>67</v>
      </c>
      <c r="E41" s="138">
        <v>44927</v>
      </c>
      <c r="F41" s="117">
        <v>44958</v>
      </c>
      <c r="G41" s="117">
        <v>44986</v>
      </c>
      <c r="H41" s="117">
        <v>45017</v>
      </c>
      <c r="I41" s="117">
        <v>45047</v>
      </c>
      <c r="J41" s="117">
        <v>45078</v>
      </c>
      <c r="K41" s="117">
        <v>45108</v>
      </c>
      <c r="L41" s="117">
        <v>45139</v>
      </c>
      <c r="M41" s="117">
        <v>45170</v>
      </c>
      <c r="N41" s="117">
        <v>45200</v>
      </c>
      <c r="O41" s="117">
        <v>45231</v>
      </c>
      <c r="P41" s="118">
        <v>45261</v>
      </c>
      <c r="Q41" s="2"/>
    </row>
    <row r="42" spans="1:17">
      <c r="A42" s="2"/>
      <c r="B42" s="235"/>
      <c r="C42" s="136" t="str">
        <f t="shared" ref="C42:C51" si="4">C18</f>
        <v>Excavation</v>
      </c>
      <c r="D42" s="120">
        <f t="shared" ref="D42:D51" si="5">SUM(E42:P42)</f>
        <v>4100</v>
      </c>
      <c r="E42" s="121">
        <v>200</v>
      </c>
      <c r="F42" s="108">
        <v>100</v>
      </c>
      <c r="G42" s="108">
        <v>200</v>
      </c>
      <c r="H42" s="108">
        <v>300</v>
      </c>
      <c r="I42" s="108">
        <v>400</v>
      </c>
      <c r="J42" s="108">
        <v>200</v>
      </c>
      <c r="K42" s="108">
        <v>700</v>
      </c>
      <c r="L42" s="108">
        <v>200</v>
      </c>
      <c r="M42" s="108">
        <v>300</v>
      </c>
      <c r="N42" s="108">
        <v>400</v>
      </c>
      <c r="O42" s="108">
        <v>500</v>
      </c>
      <c r="P42" s="122">
        <v>600</v>
      </c>
      <c r="Q42" s="2"/>
    </row>
    <row r="43" spans="1:17">
      <c r="A43" s="2"/>
      <c r="B43" s="235"/>
      <c r="C43" s="136" t="str">
        <f t="shared" si="4"/>
        <v>Foundation</v>
      </c>
      <c r="D43" s="124">
        <f t="shared" si="5"/>
        <v>3500</v>
      </c>
      <c r="E43" s="110">
        <v>100</v>
      </c>
      <c r="F43" s="110">
        <v>200</v>
      </c>
      <c r="G43" s="110">
        <v>300</v>
      </c>
      <c r="H43" s="110">
        <v>400</v>
      </c>
      <c r="I43" s="110">
        <v>500</v>
      </c>
      <c r="J43" s="110">
        <v>600</v>
      </c>
      <c r="K43" s="110">
        <v>200</v>
      </c>
      <c r="L43" s="125">
        <v>100</v>
      </c>
      <c r="M43" s="110">
        <v>200</v>
      </c>
      <c r="N43" s="110">
        <v>300</v>
      </c>
      <c r="O43" s="110">
        <v>400</v>
      </c>
      <c r="P43" s="126">
        <v>200</v>
      </c>
      <c r="Q43" s="2"/>
    </row>
    <row r="44" spans="1:17">
      <c r="A44" s="2"/>
      <c r="B44" s="235"/>
      <c r="C44" s="136" t="str">
        <f t="shared" si="4"/>
        <v>Framing</v>
      </c>
      <c r="D44" s="124">
        <f t="shared" si="5"/>
        <v>3500</v>
      </c>
      <c r="E44" s="125">
        <v>200</v>
      </c>
      <c r="F44" s="125">
        <v>100</v>
      </c>
      <c r="G44" s="110">
        <v>200</v>
      </c>
      <c r="H44" s="125">
        <v>300</v>
      </c>
      <c r="I44" s="110">
        <v>400</v>
      </c>
      <c r="J44" s="110">
        <v>200</v>
      </c>
      <c r="K44" s="110">
        <v>100</v>
      </c>
      <c r="L44" s="110">
        <v>200</v>
      </c>
      <c r="M44" s="110">
        <v>300</v>
      </c>
      <c r="N44" s="110">
        <v>400</v>
      </c>
      <c r="O44" s="110">
        <v>500</v>
      </c>
      <c r="P44" s="126">
        <v>600</v>
      </c>
      <c r="Q44" s="2"/>
    </row>
    <row r="45" spans="1:17">
      <c r="A45" s="2"/>
      <c r="B45" s="235"/>
      <c r="C45" s="136" t="str">
        <f t="shared" si="4"/>
        <v>Roofing</v>
      </c>
      <c r="D45" s="124">
        <f t="shared" si="5"/>
        <v>4200</v>
      </c>
      <c r="E45" s="125">
        <v>100</v>
      </c>
      <c r="F45" s="110">
        <v>200</v>
      </c>
      <c r="G45" s="110">
        <v>300</v>
      </c>
      <c r="H45" s="110">
        <v>400</v>
      </c>
      <c r="I45" s="110">
        <v>500</v>
      </c>
      <c r="J45" s="110">
        <v>600</v>
      </c>
      <c r="K45" s="110">
        <v>200</v>
      </c>
      <c r="L45" s="110">
        <v>800</v>
      </c>
      <c r="M45" s="110">
        <v>200</v>
      </c>
      <c r="N45" s="110">
        <v>300</v>
      </c>
      <c r="O45" s="110">
        <v>400</v>
      </c>
      <c r="P45" s="126">
        <v>200</v>
      </c>
      <c r="Q45" s="2"/>
    </row>
    <row r="46" spans="1:17">
      <c r="A46" s="2"/>
      <c r="B46" s="235"/>
      <c r="C46" s="136" t="str">
        <f t="shared" si="4"/>
        <v>Plumbing</v>
      </c>
      <c r="D46" s="124">
        <f t="shared" si="5"/>
        <v>3500</v>
      </c>
      <c r="E46" s="110">
        <v>200</v>
      </c>
      <c r="F46" s="110">
        <v>100</v>
      </c>
      <c r="G46" s="110">
        <v>200</v>
      </c>
      <c r="H46" s="110">
        <v>300</v>
      </c>
      <c r="I46" s="110">
        <v>400</v>
      </c>
      <c r="J46" s="110">
        <v>200</v>
      </c>
      <c r="K46" s="110">
        <v>100</v>
      </c>
      <c r="L46" s="110">
        <v>200</v>
      </c>
      <c r="M46" s="110">
        <v>300</v>
      </c>
      <c r="N46" s="110">
        <v>400</v>
      </c>
      <c r="O46" s="110">
        <v>500</v>
      </c>
      <c r="P46" s="126">
        <v>600</v>
      </c>
      <c r="Q46" s="2"/>
    </row>
    <row r="47" spans="1:17">
      <c r="A47" s="2"/>
      <c r="B47" s="235"/>
      <c r="C47" s="136" t="str">
        <f t="shared" si="4"/>
        <v>Electrical</v>
      </c>
      <c r="D47" s="124">
        <f t="shared" si="5"/>
        <v>3500</v>
      </c>
      <c r="E47" s="110">
        <v>200</v>
      </c>
      <c r="F47" s="110">
        <v>100</v>
      </c>
      <c r="G47" s="125">
        <v>200</v>
      </c>
      <c r="H47" s="110">
        <v>300</v>
      </c>
      <c r="I47" s="110">
        <v>400</v>
      </c>
      <c r="J47" s="125">
        <v>200</v>
      </c>
      <c r="K47" s="110">
        <v>100</v>
      </c>
      <c r="L47" s="110">
        <v>200</v>
      </c>
      <c r="M47" s="125">
        <v>300</v>
      </c>
      <c r="N47" s="110">
        <v>400</v>
      </c>
      <c r="O47" s="110">
        <v>500</v>
      </c>
      <c r="P47" s="126">
        <v>600</v>
      </c>
      <c r="Q47" s="2"/>
    </row>
    <row r="48" spans="1:17">
      <c r="A48" s="2"/>
      <c r="B48" s="235"/>
      <c r="C48" s="136" t="str">
        <f t="shared" si="4"/>
        <v>HVAC</v>
      </c>
      <c r="D48" s="124">
        <f t="shared" si="5"/>
        <v>3500</v>
      </c>
      <c r="E48" s="125">
        <v>200</v>
      </c>
      <c r="F48" s="125">
        <v>100</v>
      </c>
      <c r="G48" s="110">
        <v>200</v>
      </c>
      <c r="H48" s="110">
        <v>300</v>
      </c>
      <c r="I48" s="110">
        <v>400</v>
      </c>
      <c r="J48" s="125">
        <v>200</v>
      </c>
      <c r="K48" s="110">
        <v>100</v>
      </c>
      <c r="L48" s="110">
        <v>200</v>
      </c>
      <c r="M48" s="125">
        <v>300</v>
      </c>
      <c r="N48" s="110">
        <v>400</v>
      </c>
      <c r="O48" s="110">
        <v>500</v>
      </c>
      <c r="P48" s="126">
        <v>600</v>
      </c>
      <c r="Q48" s="2"/>
    </row>
    <row r="49" spans="1:17">
      <c r="A49" s="2"/>
      <c r="B49" s="235"/>
      <c r="C49" s="136" t="str">
        <f t="shared" si="4"/>
        <v>Insulation</v>
      </c>
      <c r="D49" s="124">
        <f t="shared" si="5"/>
        <v>4300</v>
      </c>
      <c r="E49" s="110">
        <v>100</v>
      </c>
      <c r="F49" s="110">
        <v>200</v>
      </c>
      <c r="G49" s="110">
        <v>300</v>
      </c>
      <c r="H49" s="110">
        <v>400</v>
      </c>
      <c r="I49" s="110">
        <v>500</v>
      </c>
      <c r="J49" s="110">
        <v>600</v>
      </c>
      <c r="K49" s="110">
        <v>200</v>
      </c>
      <c r="L49" s="110">
        <v>900</v>
      </c>
      <c r="M49" s="110">
        <v>200</v>
      </c>
      <c r="N49" s="110">
        <v>300</v>
      </c>
      <c r="O49" s="110">
        <v>400</v>
      </c>
      <c r="P49" s="126">
        <v>200</v>
      </c>
      <c r="Q49" s="2"/>
    </row>
    <row r="50" spans="1:17">
      <c r="A50" s="2"/>
      <c r="B50" s="235"/>
      <c r="C50" s="136" t="str">
        <f t="shared" si="4"/>
        <v>Drywall</v>
      </c>
      <c r="D50" s="124">
        <f t="shared" si="5"/>
        <v>3500</v>
      </c>
      <c r="E50" s="125">
        <v>200</v>
      </c>
      <c r="F50" s="110">
        <v>100</v>
      </c>
      <c r="G50" s="110">
        <v>200</v>
      </c>
      <c r="H50" s="110">
        <v>300</v>
      </c>
      <c r="I50" s="110">
        <v>400</v>
      </c>
      <c r="J50" s="110">
        <v>200</v>
      </c>
      <c r="K50" s="110">
        <v>100</v>
      </c>
      <c r="L50" s="110">
        <v>200</v>
      </c>
      <c r="M50" s="110">
        <v>300</v>
      </c>
      <c r="N50" s="110">
        <v>400</v>
      </c>
      <c r="O50" s="110">
        <v>500</v>
      </c>
      <c r="P50" s="126">
        <v>600</v>
      </c>
      <c r="Q50" s="2"/>
    </row>
    <row r="51" spans="1:17">
      <c r="A51" s="2"/>
      <c r="B51" s="235"/>
      <c r="C51" s="136" t="str">
        <f t="shared" si="4"/>
        <v>Flooring</v>
      </c>
      <c r="D51" s="124">
        <f t="shared" si="5"/>
        <v>4100</v>
      </c>
      <c r="E51" s="110">
        <v>200</v>
      </c>
      <c r="F51" s="110">
        <v>100</v>
      </c>
      <c r="G51" s="110">
        <v>200</v>
      </c>
      <c r="H51" s="110">
        <v>300</v>
      </c>
      <c r="I51" s="110">
        <v>400</v>
      </c>
      <c r="J51" s="110">
        <v>200</v>
      </c>
      <c r="K51" s="110">
        <v>700</v>
      </c>
      <c r="L51" s="110">
        <v>200</v>
      </c>
      <c r="M51" s="110">
        <v>300</v>
      </c>
      <c r="N51" s="110">
        <v>400</v>
      </c>
      <c r="O51" s="110">
        <v>500</v>
      </c>
      <c r="P51" s="126">
        <v>600</v>
      </c>
      <c r="Q51" s="2"/>
    </row>
    <row r="52" spans="1:17">
      <c r="A52" s="2"/>
      <c r="B52" s="2"/>
      <c r="C52" s="132"/>
      <c r="D52" s="137"/>
      <c r="E52" s="129"/>
      <c r="F52" s="129"/>
      <c r="G52" s="129"/>
      <c r="H52" s="129"/>
      <c r="I52" s="129"/>
      <c r="J52" s="129"/>
      <c r="K52" s="129"/>
      <c r="L52" s="129"/>
      <c r="M52" s="129"/>
      <c r="N52" s="129"/>
      <c r="O52" s="129"/>
      <c r="P52" s="130"/>
      <c r="Q52" s="2"/>
    </row>
    <row r="53" spans="1:17" ht="15">
      <c r="A53" s="2"/>
      <c r="B53" s="2"/>
      <c r="C53" s="2"/>
      <c r="D53" s="2"/>
      <c r="E53" s="2"/>
      <c r="F53" s="2"/>
      <c r="G53" s="2"/>
      <c r="H53" s="2"/>
      <c r="I53" s="2"/>
      <c r="J53" s="2"/>
      <c r="K53" s="2"/>
      <c r="L53" s="2"/>
      <c r="M53" s="2"/>
      <c r="N53" s="2"/>
      <c r="O53" s="2"/>
      <c r="P53" s="2"/>
      <c r="Q53" s="2"/>
    </row>
  </sheetData>
  <mergeCells count="13">
    <mergeCell ref="O12:P12"/>
    <mergeCell ref="B41:B51"/>
    <mergeCell ref="C4:D4"/>
    <mergeCell ref="E4:F4"/>
    <mergeCell ref="C6:D6"/>
    <mergeCell ref="E6:F6"/>
    <mergeCell ref="C8:D8"/>
    <mergeCell ref="E8:F8"/>
    <mergeCell ref="O13:P13"/>
    <mergeCell ref="O14:P14"/>
    <mergeCell ref="O15:P15"/>
    <mergeCell ref="B17:B27"/>
    <mergeCell ref="B29:B39"/>
  </mergeCells>
  <printOptions horizontalCentered="1" gridLines="1"/>
  <pageMargins left="0.7" right="0.7" top="0.75" bottom="0.75" header="0" footer="0"/>
  <pageSetup fitToHeight="0" pageOrder="overThenDown" orientation="landscape" cellComments="atEnd"/>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P40"/>
  <sheetViews>
    <sheetView showGridLines="0" tabSelected="1" topLeftCell="A33" workbookViewId="0">
      <selection activeCell="K4" sqref="K4"/>
    </sheetView>
  </sheetViews>
  <sheetFormatPr defaultColWidth="12.5703125" defaultRowHeight="15.75" customHeight="1"/>
  <cols>
    <col min="1" max="1" width="4.28515625" customWidth="1"/>
    <col min="2" max="2" width="24.7109375" customWidth="1"/>
    <col min="3" max="15" width="19.140625" customWidth="1"/>
    <col min="16" max="16" width="4.28515625" customWidth="1"/>
  </cols>
  <sheetData>
    <row r="1" spans="1:16" ht="15">
      <c r="A1" s="2"/>
      <c r="B1" s="2"/>
      <c r="C1" s="2"/>
      <c r="D1" s="2"/>
      <c r="E1" s="2"/>
      <c r="F1" s="2"/>
      <c r="G1" s="2"/>
      <c r="H1" s="2"/>
      <c r="I1" s="2"/>
      <c r="J1" s="2"/>
      <c r="K1" s="2"/>
      <c r="L1" s="2"/>
      <c r="M1" s="2"/>
      <c r="N1" s="2"/>
      <c r="O1" s="2"/>
      <c r="P1" s="2"/>
    </row>
    <row r="2" spans="1:16" ht="30.75" customHeight="1">
      <c r="A2" s="2"/>
      <c r="B2" s="90" t="s">
        <v>33</v>
      </c>
      <c r="C2" s="91"/>
      <c r="D2" s="91"/>
      <c r="E2" s="91"/>
      <c r="F2" s="91"/>
      <c r="G2" s="91"/>
      <c r="H2" s="91"/>
      <c r="I2" s="91"/>
      <c r="J2" s="91"/>
      <c r="K2" s="91"/>
      <c r="L2" s="91"/>
      <c r="M2" s="91"/>
      <c r="N2" s="91"/>
      <c r="O2" s="91"/>
      <c r="P2" s="2"/>
    </row>
    <row r="3" spans="1:16" ht="8.25" customHeight="1">
      <c r="A3" s="2"/>
      <c r="B3" s="2"/>
      <c r="C3" s="2"/>
      <c r="D3" s="2"/>
      <c r="E3" s="2"/>
      <c r="F3" s="139"/>
      <c r="G3" s="2"/>
      <c r="H3" s="2"/>
      <c r="I3" s="2"/>
      <c r="J3" s="2"/>
      <c r="K3" s="2"/>
      <c r="L3" s="2"/>
      <c r="M3" s="2"/>
      <c r="N3" s="2"/>
      <c r="O3" s="2"/>
      <c r="P3" s="2"/>
    </row>
    <row r="4" spans="1:16" ht="25.5" customHeight="1">
      <c r="A4" s="92"/>
      <c r="B4" s="93"/>
      <c r="C4" s="140"/>
      <c r="D4" s="140"/>
      <c r="F4" s="141"/>
      <c r="G4" s="141" t="s">
        <v>75</v>
      </c>
      <c r="H4" s="94"/>
      <c r="I4" s="94"/>
      <c r="J4" s="94"/>
      <c r="K4" s="141"/>
      <c r="L4" s="142" t="s">
        <v>76</v>
      </c>
      <c r="M4" s="94"/>
      <c r="N4" s="95"/>
      <c r="O4" s="95"/>
      <c r="P4" s="92"/>
    </row>
    <row r="5" spans="1:16" ht="25.5" customHeight="1">
      <c r="A5" s="92"/>
      <c r="B5" s="93" t="s">
        <v>57</v>
      </c>
      <c r="C5" s="210">
        <v>47721</v>
      </c>
      <c r="D5" s="234"/>
      <c r="G5" s="94"/>
      <c r="H5" s="94"/>
      <c r="I5" s="94"/>
      <c r="J5" s="94"/>
      <c r="L5" s="94"/>
      <c r="M5" s="94"/>
      <c r="N5" s="95"/>
      <c r="O5" s="95"/>
      <c r="P5" s="92"/>
    </row>
    <row r="6" spans="1:16" ht="8.25" customHeight="1">
      <c r="A6" s="96"/>
      <c r="B6" s="97"/>
      <c r="C6" s="98"/>
      <c r="D6" s="98"/>
      <c r="F6" s="139"/>
      <c r="G6" s="99"/>
      <c r="H6" s="99"/>
      <c r="I6" s="99"/>
      <c r="J6" s="99"/>
      <c r="K6" s="99"/>
      <c r="L6" s="99"/>
      <c r="M6" s="99"/>
      <c r="N6" s="95"/>
      <c r="O6" s="95"/>
      <c r="P6" s="96"/>
    </row>
    <row r="7" spans="1:16" ht="25.5" customHeight="1">
      <c r="A7" s="92"/>
      <c r="B7" s="93" t="s">
        <v>58</v>
      </c>
      <c r="C7" s="211" t="s">
        <v>59</v>
      </c>
      <c r="D7" s="234"/>
      <c r="F7" s="139"/>
      <c r="G7" s="94"/>
      <c r="H7" s="94"/>
      <c r="I7" s="94"/>
      <c r="J7" s="94"/>
      <c r="K7" s="94"/>
      <c r="L7" s="94"/>
      <c r="M7" s="94"/>
      <c r="N7" s="95"/>
      <c r="O7" s="95"/>
      <c r="P7" s="92"/>
    </row>
    <row r="8" spans="1:16" ht="8.25" customHeight="1">
      <c r="A8" s="96"/>
      <c r="B8" s="97"/>
      <c r="C8" s="98"/>
      <c r="D8" s="98"/>
      <c r="F8" s="139"/>
      <c r="G8" s="99"/>
      <c r="H8" s="99"/>
      <c r="I8" s="99"/>
      <c r="J8" s="99"/>
      <c r="K8" s="99"/>
      <c r="L8" s="99"/>
      <c r="M8" s="99"/>
      <c r="N8" s="95"/>
      <c r="O8" s="95"/>
      <c r="P8" s="96"/>
    </row>
    <row r="9" spans="1:16" ht="25.5" customHeight="1">
      <c r="A9" s="92"/>
      <c r="B9" s="93" t="s">
        <v>60</v>
      </c>
      <c r="C9" s="212">
        <f>C5</f>
        <v>47721</v>
      </c>
      <c r="D9" s="234"/>
      <c r="F9" s="139"/>
      <c r="G9" s="94"/>
      <c r="H9" s="94"/>
      <c r="I9" s="94"/>
      <c r="J9" s="94"/>
      <c r="K9" s="94"/>
      <c r="L9" s="94"/>
      <c r="M9" s="94"/>
      <c r="N9" s="95"/>
      <c r="O9" s="95"/>
      <c r="P9" s="92"/>
    </row>
    <row r="10" spans="1:16" ht="90.75" customHeight="1">
      <c r="A10" s="96"/>
      <c r="B10" s="100"/>
      <c r="C10" s="99"/>
      <c r="D10" s="99"/>
      <c r="E10" s="99"/>
      <c r="F10" s="139"/>
      <c r="G10" s="99"/>
      <c r="H10" s="99"/>
      <c r="I10" s="99"/>
      <c r="J10" s="99"/>
      <c r="K10" s="99"/>
      <c r="L10" s="99"/>
      <c r="M10" s="99"/>
      <c r="N10" s="95"/>
      <c r="O10" s="95"/>
      <c r="P10" s="96"/>
    </row>
    <row r="11" spans="1:16" ht="29.25" customHeight="1">
      <c r="A11" s="92"/>
      <c r="B11" s="143" t="s">
        <v>77</v>
      </c>
      <c r="C11" s="144" t="str">
        <f t="array" ref="C11:L11">TRANSPOSE(B18:B27)</f>
        <v>Rental</v>
      </c>
      <c r="D11" s="144" t="str">
        <v>Personal Funds</v>
      </c>
      <c r="E11" s="144" t="str">
        <v>Loans</v>
      </c>
      <c r="F11" s="144" t="str">
        <v>Investment</v>
      </c>
      <c r="G11" s="144" t="str">
        <v>Personal Saving</v>
      </c>
      <c r="H11" s="144">
        <v>0</v>
      </c>
      <c r="I11" s="144">
        <v>0</v>
      </c>
      <c r="J11" s="144">
        <v>0</v>
      </c>
      <c r="K11" s="144">
        <v>0</v>
      </c>
      <c r="L11" s="144">
        <v>0</v>
      </c>
      <c r="M11" s="144"/>
      <c r="N11" s="214" t="s">
        <v>78</v>
      </c>
      <c r="O11" s="236"/>
      <c r="P11" s="92"/>
    </row>
    <row r="12" spans="1:16" ht="24" customHeight="1">
      <c r="A12" s="18"/>
      <c r="B12" s="145" t="s">
        <v>79</v>
      </c>
      <c r="C12" s="146">
        <f t="array" ref="C12:L12">TRANSPOSE(C18:C27)</f>
        <v>4200</v>
      </c>
      <c r="D12" s="146">
        <v>3500</v>
      </c>
      <c r="E12" s="146">
        <v>4100</v>
      </c>
      <c r="F12" s="146">
        <v>4300</v>
      </c>
      <c r="G12" s="146">
        <v>3500</v>
      </c>
      <c r="H12" s="146">
        <v>0</v>
      </c>
      <c r="I12" s="146">
        <v>0</v>
      </c>
      <c r="J12" s="146">
        <v>0</v>
      </c>
      <c r="K12" s="146">
        <v>0</v>
      </c>
      <c r="L12" s="146">
        <v>0</v>
      </c>
      <c r="M12" s="18"/>
      <c r="N12" s="216">
        <f>SUM(C12:M12)</f>
        <v>19600</v>
      </c>
      <c r="O12" s="237"/>
      <c r="P12" s="18"/>
    </row>
    <row r="13" spans="1:16" ht="29.25" customHeight="1">
      <c r="A13" s="18"/>
      <c r="B13" s="143" t="s">
        <v>77</v>
      </c>
      <c r="C13" s="144" t="str">
        <f t="array" ref="C13:L13">TRANSPOSE(B30:B39)</f>
        <v>Materials</v>
      </c>
      <c r="D13" s="144" t="str">
        <v>Labor Cost</v>
      </c>
      <c r="E13" s="144" t="str">
        <v>Permits &amp; Fees</v>
      </c>
      <c r="F13" s="144" t="str">
        <v>Equiptment &amp; Tools</v>
      </c>
      <c r="G13" s="144" t="str">
        <v>Utilities</v>
      </c>
      <c r="H13" s="144" t="str">
        <v>Insurance</v>
      </c>
      <c r="I13" s="147" t="str">
        <v>Professional  Services</v>
      </c>
      <c r="J13" s="147" t="str">
        <v>Marketing &amp; Advertisment</v>
      </c>
      <c r="K13" s="144" t="str">
        <v>Contingency</v>
      </c>
      <c r="L13" s="144" t="str">
        <v>Other Expenses</v>
      </c>
      <c r="M13" s="144"/>
      <c r="N13" s="214" t="s">
        <v>80</v>
      </c>
      <c r="O13" s="236"/>
      <c r="P13" s="18"/>
    </row>
    <row r="14" spans="1:16" ht="24" customHeight="1">
      <c r="A14" s="18"/>
      <c r="B14" s="148" t="s">
        <v>81</v>
      </c>
      <c r="C14" s="149">
        <f t="array" ref="C14:L14">TRANSPOSE(C30:C39)</f>
        <v>4200</v>
      </c>
      <c r="D14" s="149">
        <v>3500</v>
      </c>
      <c r="E14" s="149">
        <v>4100</v>
      </c>
      <c r="F14" s="149">
        <v>4300</v>
      </c>
      <c r="G14" s="149">
        <v>3500</v>
      </c>
      <c r="H14" s="149">
        <v>3500</v>
      </c>
      <c r="I14" s="149">
        <v>3500</v>
      </c>
      <c r="J14" s="149">
        <v>3500</v>
      </c>
      <c r="K14" s="149">
        <v>3500</v>
      </c>
      <c r="L14" s="149">
        <v>3500</v>
      </c>
      <c r="M14" s="67"/>
      <c r="N14" s="215">
        <f>SUM(C14:M14)</f>
        <v>37100</v>
      </c>
      <c r="O14" s="220"/>
      <c r="P14" s="18"/>
    </row>
    <row r="15" spans="1:16" ht="15">
      <c r="A15" s="2"/>
      <c r="B15" s="2"/>
      <c r="C15" s="2"/>
      <c r="D15" s="2"/>
      <c r="E15" s="2"/>
      <c r="F15" s="2"/>
      <c r="G15" s="2"/>
      <c r="H15" s="2"/>
      <c r="I15" s="2"/>
      <c r="J15" s="2"/>
      <c r="K15" s="2"/>
      <c r="L15" s="2"/>
      <c r="M15" s="2"/>
      <c r="N15" s="2"/>
      <c r="O15" s="2"/>
      <c r="P15" s="2"/>
    </row>
    <row r="16" spans="1:16" ht="15">
      <c r="A16" s="2"/>
      <c r="B16" s="150"/>
      <c r="C16" s="150"/>
      <c r="D16" s="150"/>
      <c r="E16" s="150"/>
      <c r="F16" s="150"/>
      <c r="G16" s="150"/>
      <c r="H16" s="150"/>
      <c r="I16" s="150"/>
      <c r="J16" s="150"/>
      <c r="K16" s="150"/>
      <c r="L16" s="150"/>
      <c r="M16" s="150"/>
      <c r="N16" s="150"/>
      <c r="O16" s="150"/>
      <c r="P16" s="2"/>
    </row>
    <row r="17" spans="1:16" ht="19.5" customHeight="1">
      <c r="A17" s="18"/>
      <c r="B17" s="151" t="s">
        <v>79</v>
      </c>
      <c r="C17" s="152" t="s">
        <v>67</v>
      </c>
      <c r="D17" s="153">
        <v>44927</v>
      </c>
      <c r="E17" s="153">
        <v>44958</v>
      </c>
      <c r="F17" s="153">
        <v>44986</v>
      </c>
      <c r="G17" s="153">
        <v>45017</v>
      </c>
      <c r="H17" s="153">
        <v>45047</v>
      </c>
      <c r="I17" s="153">
        <v>45078</v>
      </c>
      <c r="J17" s="153">
        <v>45108</v>
      </c>
      <c r="K17" s="153">
        <v>45139</v>
      </c>
      <c r="L17" s="153">
        <v>45170</v>
      </c>
      <c r="M17" s="153">
        <v>45200</v>
      </c>
      <c r="N17" s="153">
        <v>45231</v>
      </c>
      <c r="O17" s="154">
        <v>45261</v>
      </c>
      <c r="P17" s="18"/>
    </row>
    <row r="18" spans="1:16" ht="19.5" customHeight="1">
      <c r="A18" s="18"/>
      <c r="B18" s="155" t="s">
        <v>82</v>
      </c>
      <c r="C18" s="156">
        <f t="shared" ref="C18:C22" si="0">SUM(D18:O18)</f>
        <v>4200</v>
      </c>
      <c r="D18" s="157">
        <v>200</v>
      </c>
      <c r="E18" s="157">
        <v>100</v>
      </c>
      <c r="F18" s="158">
        <v>200</v>
      </c>
      <c r="G18" s="157">
        <v>300</v>
      </c>
      <c r="H18" s="158">
        <v>400</v>
      </c>
      <c r="I18" s="158">
        <v>200</v>
      </c>
      <c r="J18" s="158">
        <v>800</v>
      </c>
      <c r="K18" s="158">
        <v>200</v>
      </c>
      <c r="L18" s="158">
        <v>300</v>
      </c>
      <c r="M18" s="158">
        <v>400</v>
      </c>
      <c r="N18" s="158">
        <v>500</v>
      </c>
      <c r="O18" s="159">
        <v>600</v>
      </c>
      <c r="P18" s="18"/>
    </row>
    <row r="19" spans="1:16" ht="19.5" customHeight="1">
      <c r="A19" s="18"/>
      <c r="B19" s="155" t="s">
        <v>83</v>
      </c>
      <c r="C19" s="156">
        <f t="shared" si="0"/>
        <v>3500</v>
      </c>
      <c r="D19" s="158">
        <v>100</v>
      </c>
      <c r="E19" s="158">
        <v>200</v>
      </c>
      <c r="F19" s="157">
        <v>300</v>
      </c>
      <c r="G19" s="158">
        <v>400</v>
      </c>
      <c r="H19" s="158">
        <v>500</v>
      </c>
      <c r="I19" s="157">
        <v>600</v>
      </c>
      <c r="J19" s="158">
        <v>200</v>
      </c>
      <c r="K19" s="158">
        <v>100</v>
      </c>
      <c r="L19" s="157">
        <v>200</v>
      </c>
      <c r="M19" s="158">
        <v>300</v>
      </c>
      <c r="N19" s="158">
        <v>400</v>
      </c>
      <c r="O19" s="159">
        <v>200</v>
      </c>
      <c r="P19" s="18"/>
    </row>
    <row r="20" spans="1:16" ht="19.5" customHeight="1">
      <c r="A20" s="18"/>
      <c r="B20" s="155" t="s">
        <v>84</v>
      </c>
      <c r="C20" s="156">
        <f t="shared" si="0"/>
        <v>4100</v>
      </c>
      <c r="D20" s="157">
        <v>200</v>
      </c>
      <c r="E20" s="157">
        <v>100</v>
      </c>
      <c r="F20" s="158">
        <v>200</v>
      </c>
      <c r="G20" s="158">
        <v>300</v>
      </c>
      <c r="H20" s="158">
        <v>400</v>
      </c>
      <c r="I20" s="157">
        <v>200</v>
      </c>
      <c r="J20" s="158">
        <v>700</v>
      </c>
      <c r="K20" s="158">
        <v>200</v>
      </c>
      <c r="L20" s="157">
        <v>300</v>
      </c>
      <c r="M20" s="158">
        <v>400</v>
      </c>
      <c r="N20" s="158">
        <v>500</v>
      </c>
      <c r="O20" s="159">
        <v>600</v>
      </c>
      <c r="P20" s="18"/>
    </row>
    <row r="21" spans="1:16" ht="19.5" customHeight="1">
      <c r="A21" s="18"/>
      <c r="B21" s="155" t="s">
        <v>85</v>
      </c>
      <c r="C21" s="156">
        <f t="shared" si="0"/>
        <v>4300</v>
      </c>
      <c r="D21" s="158">
        <v>900</v>
      </c>
      <c r="E21" s="158">
        <v>200</v>
      </c>
      <c r="F21" s="158">
        <v>300</v>
      </c>
      <c r="G21" s="158">
        <v>400</v>
      </c>
      <c r="H21" s="158">
        <v>500</v>
      </c>
      <c r="I21" s="158">
        <v>600</v>
      </c>
      <c r="J21" s="158">
        <v>200</v>
      </c>
      <c r="K21" s="158">
        <v>100</v>
      </c>
      <c r="L21" s="158">
        <v>200</v>
      </c>
      <c r="M21" s="158">
        <v>300</v>
      </c>
      <c r="N21" s="158">
        <v>400</v>
      </c>
      <c r="O21" s="159">
        <v>200</v>
      </c>
      <c r="P21" s="18"/>
    </row>
    <row r="22" spans="1:16" ht="19.5" customHeight="1">
      <c r="A22" s="18"/>
      <c r="B22" s="155" t="s">
        <v>86</v>
      </c>
      <c r="C22" s="156">
        <f t="shared" si="0"/>
        <v>3500</v>
      </c>
      <c r="D22" s="158">
        <v>200</v>
      </c>
      <c r="E22" s="158">
        <v>100</v>
      </c>
      <c r="F22" s="158">
        <v>200</v>
      </c>
      <c r="G22" s="158">
        <v>300</v>
      </c>
      <c r="H22" s="158">
        <v>400</v>
      </c>
      <c r="I22" s="158">
        <v>200</v>
      </c>
      <c r="J22" s="158">
        <v>100</v>
      </c>
      <c r="K22" s="158">
        <v>200</v>
      </c>
      <c r="L22" s="158">
        <v>300</v>
      </c>
      <c r="M22" s="158">
        <v>400</v>
      </c>
      <c r="N22" s="158">
        <v>500</v>
      </c>
      <c r="O22" s="159">
        <v>600</v>
      </c>
      <c r="P22" s="18"/>
    </row>
    <row r="23" spans="1:16" ht="19.5" customHeight="1">
      <c r="A23" s="18"/>
      <c r="B23" s="155"/>
      <c r="C23" s="156"/>
      <c r="D23" s="158"/>
      <c r="E23" s="158"/>
      <c r="F23" s="158"/>
      <c r="G23" s="158"/>
      <c r="H23" s="158"/>
      <c r="I23" s="158"/>
      <c r="J23" s="158"/>
      <c r="K23" s="158"/>
      <c r="L23" s="158"/>
      <c r="M23" s="158"/>
      <c r="N23" s="158"/>
      <c r="O23" s="159"/>
      <c r="P23" s="18"/>
    </row>
    <row r="24" spans="1:16" ht="19.5" customHeight="1">
      <c r="A24" s="18"/>
      <c r="B24" s="155"/>
      <c r="C24" s="156"/>
      <c r="D24" s="158"/>
      <c r="E24" s="158"/>
      <c r="F24" s="158"/>
      <c r="G24" s="158"/>
      <c r="H24" s="158"/>
      <c r="I24" s="158"/>
      <c r="J24" s="158"/>
      <c r="K24" s="158"/>
      <c r="L24" s="158"/>
      <c r="M24" s="158"/>
      <c r="N24" s="158"/>
      <c r="O24" s="159"/>
      <c r="P24" s="18"/>
    </row>
    <row r="25" spans="1:16" ht="19.5" customHeight="1">
      <c r="A25" s="18"/>
      <c r="B25" s="155"/>
      <c r="C25" s="156"/>
      <c r="D25" s="158"/>
      <c r="E25" s="158"/>
      <c r="F25" s="158"/>
      <c r="G25" s="158"/>
      <c r="H25" s="158"/>
      <c r="I25" s="158"/>
      <c r="J25" s="158"/>
      <c r="K25" s="158"/>
      <c r="L25" s="158"/>
      <c r="M25" s="158"/>
      <c r="N25" s="158"/>
      <c r="O25" s="159"/>
      <c r="P25" s="18"/>
    </row>
    <row r="26" spans="1:16" ht="19.5" customHeight="1">
      <c r="A26" s="18"/>
      <c r="B26" s="155"/>
      <c r="C26" s="156"/>
      <c r="D26" s="158"/>
      <c r="E26" s="158"/>
      <c r="F26" s="158"/>
      <c r="G26" s="158"/>
      <c r="H26" s="158"/>
      <c r="I26" s="158"/>
      <c r="J26" s="158"/>
      <c r="K26" s="158"/>
      <c r="L26" s="158"/>
      <c r="M26" s="158"/>
      <c r="N26" s="158"/>
      <c r="O26" s="159"/>
      <c r="P26" s="18"/>
    </row>
    <row r="27" spans="1:16" ht="19.5" customHeight="1">
      <c r="A27" s="18"/>
      <c r="B27" s="160"/>
      <c r="C27" s="161"/>
      <c r="D27" s="162"/>
      <c r="E27" s="162"/>
      <c r="F27" s="162"/>
      <c r="G27" s="162"/>
      <c r="H27" s="162"/>
      <c r="I27" s="162"/>
      <c r="J27" s="162"/>
      <c r="K27" s="162"/>
      <c r="L27" s="162"/>
      <c r="M27" s="162"/>
      <c r="N27" s="162"/>
      <c r="O27" s="163"/>
      <c r="P27" s="18"/>
    </row>
    <row r="28" spans="1:16" ht="19.5" customHeight="1">
      <c r="A28" s="18"/>
      <c r="B28" s="18"/>
      <c r="C28" s="164"/>
      <c r="D28" s="146"/>
      <c r="E28" s="146"/>
      <c r="F28" s="146"/>
      <c r="G28" s="146"/>
      <c r="H28" s="146"/>
      <c r="I28" s="146"/>
      <c r="J28" s="146"/>
      <c r="K28" s="146"/>
      <c r="L28" s="146"/>
      <c r="M28" s="146"/>
      <c r="N28" s="146"/>
      <c r="O28" s="146"/>
      <c r="P28" s="18"/>
    </row>
    <row r="29" spans="1:16" ht="19.5" customHeight="1">
      <c r="A29" s="18"/>
      <c r="B29" s="165" t="s">
        <v>81</v>
      </c>
      <c r="C29" s="166" t="s">
        <v>67</v>
      </c>
      <c r="D29" s="167">
        <v>44927</v>
      </c>
      <c r="E29" s="167">
        <v>44958</v>
      </c>
      <c r="F29" s="167">
        <v>44986</v>
      </c>
      <c r="G29" s="167">
        <v>45017</v>
      </c>
      <c r="H29" s="167">
        <v>45047</v>
      </c>
      <c r="I29" s="167">
        <v>45078</v>
      </c>
      <c r="J29" s="167">
        <v>45108</v>
      </c>
      <c r="K29" s="167">
        <v>45139</v>
      </c>
      <c r="L29" s="167">
        <v>45170</v>
      </c>
      <c r="M29" s="167">
        <v>45200</v>
      </c>
      <c r="N29" s="167">
        <v>45231</v>
      </c>
      <c r="O29" s="168">
        <v>45261</v>
      </c>
      <c r="P29" s="18"/>
    </row>
    <row r="30" spans="1:16" ht="19.5" customHeight="1">
      <c r="A30" s="18"/>
      <c r="B30" s="169" t="s">
        <v>35</v>
      </c>
      <c r="C30" s="170">
        <f t="shared" ref="C30:C39" si="1">SUM(D30:O30)</f>
        <v>4200</v>
      </c>
      <c r="D30" s="171">
        <v>200</v>
      </c>
      <c r="E30" s="172">
        <v>100</v>
      </c>
      <c r="F30" s="172">
        <v>200</v>
      </c>
      <c r="G30" s="172">
        <v>300</v>
      </c>
      <c r="H30" s="172">
        <v>400</v>
      </c>
      <c r="I30" s="172">
        <v>200</v>
      </c>
      <c r="J30" s="172">
        <v>800</v>
      </c>
      <c r="K30" s="172">
        <v>200</v>
      </c>
      <c r="L30" s="172">
        <v>300</v>
      </c>
      <c r="M30" s="172">
        <v>400</v>
      </c>
      <c r="N30" s="172">
        <v>500</v>
      </c>
      <c r="O30" s="173">
        <v>600</v>
      </c>
      <c r="P30" s="18"/>
    </row>
    <row r="31" spans="1:16" ht="19.5" customHeight="1">
      <c r="A31" s="18"/>
      <c r="B31" s="174" t="s">
        <v>87</v>
      </c>
      <c r="C31" s="156">
        <f t="shared" si="1"/>
        <v>3500</v>
      </c>
      <c r="D31" s="158">
        <v>100</v>
      </c>
      <c r="E31" s="158">
        <v>200</v>
      </c>
      <c r="F31" s="158">
        <v>300</v>
      </c>
      <c r="G31" s="158">
        <v>400</v>
      </c>
      <c r="H31" s="158">
        <v>500</v>
      </c>
      <c r="I31" s="158">
        <v>600</v>
      </c>
      <c r="J31" s="158">
        <v>200</v>
      </c>
      <c r="K31" s="157">
        <v>100</v>
      </c>
      <c r="L31" s="158">
        <v>200</v>
      </c>
      <c r="M31" s="158">
        <v>300</v>
      </c>
      <c r="N31" s="158">
        <v>400</v>
      </c>
      <c r="O31" s="175">
        <v>200</v>
      </c>
      <c r="P31" s="18"/>
    </row>
    <row r="32" spans="1:16" ht="19.5" customHeight="1">
      <c r="A32" s="18"/>
      <c r="B32" s="174" t="s">
        <v>88</v>
      </c>
      <c r="C32" s="156">
        <f t="shared" si="1"/>
        <v>4100</v>
      </c>
      <c r="D32" s="157">
        <v>200</v>
      </c>
      <c r="E32" s="157">
        <v>100</v>
      </c>
      <c r="F32" s="158">
        <v>200</v>
      </c>
      <c r="G32" s="157">
        <v>300</v>
      </c>
      <c r="H32" s="158">
        <v>400</v>
      </c>
      <c r="I32" s="158">
        <v>200</v>
      </c>
      <c r="J32" s="158">
        <v>700</v>
      </c>
      <c r="K32" s="158">
        <v>200</v>
      </c>
      <c r="L32" s="158">
        <v>300</v>
      </c>
      <c r="M32" s="158">
        <v>400</v>
      </c>
      <c r="N32" s="158">
        <v>500</v>
      </c>
      <c r="O32" s="175">
        <v>600</v>
      </c>
      <c r="P32" s="18"/>
    </row>
    <row r="33" spans="1:16" ht="19.5" customHeight="1">
      <c r="A33" s="18"/>
      <c r="B33" s="174" t="s">
        <v>89</v>
      </c>
      <c r="C33" s="156">
        <f t="shared" si="1"/>
        <v>4300</v>
      </c>
      <c r="D33" s="157">
        <v>900</v>
      </c>
      <c r="E33" s="158">
        <v>200</v>
      </c>
      <c r="F33" s="158">
        <v>300</v>
      </c>
      <c r="G33" s="158">
        <v>400</v>
      </c>
      <c r="H33" s="158">
        <v>500</v>
      </c>
      <c r="I33" s="158">
        <v>600</v>
      </c>
      <c r="J33" s="158">
        <v>200</v>
      </c>
      <c r="K33" s="158">
        <v>100</v>
      </c>
      <c r="L33" s="158">
        <v>200</v>
      </c>
      <c r="M33" s="158">
        <v>300</v>
      </c>
      <c r="N33" s="158">
        <v>400</v>
      </c>
      <c r="O33" s="175">
        <v>200</v>
      </c>
      <c r="P33" s="18"/>
    </row>
    <row r="34" spans="1:16" ht="19.5" customHeight="1">
      <c r="A34" s="18"/>
      <c r="B34" s="174" t="s">
        <v>90</v>
      </c>
      <c r="C34" s="156">
        <f t="shared" si="1"/>
        <v>3500</v>
      </c>
      <c r="D34" s="158">
        <v>200</v>
      </c>
      <c r="E34" s="158">
        <v>100</v>
      </c>
      <c r="F34" s="158">
        <v>200</v>
      </c>
      <c r="G34" s="158">
        <v>300</v>
      </c>
      <c r="H34" s="158">
        <v>400</v>
      </c>
      <c r="I34" s="158">
        <v>200</v>
      </c>
      <c r="J34" s="158">
        <v>100</v>
      </c>
      <c r="K34" s="158">
        <v>200</v>
      </c>
      <c r="L34" s="158">
        <v>300</v>
      </c>
      <c r="M34" s="158">
        <v>400</v>
      </c>
      <c r="N34" s="158">
        <v>500</v>
      </c>
      <c r="O34" s="175">
        <v>600</v>
      </c>
      <c r="P34" s="18"/>
    </row>
    <row r="35" spans="1:16" ht="19.5" customHeight="1">
      <c r="A35" s="18"/>
      <c r="B35" s="174" t="s">
        <v>91</v>
      </c>
      <c r="C35" s="156">
        <f t="shared" si="1"/>
        <v>3500</v>
      </c>
      <c r="D35" s="158">
        <v>200</v>
      </c>
      <c r="E35" s="158">
        <v>100</v>
      </c>
      <c r="F35" s="157">
        <v>200</v>
      </c>
      <c r="G35" s="158">
        <v>300</v>
      </c>
      <c r="H35" s="158">
        <v>400</v>
      </c>
      <c r="I35" s="157">
        <v>200</v>
      </c>
      <c r="J35" s="158">
        <v>100</v>
      </c>
      <c r="K35" s="158">
        <v>200</v>
      </c>
      <c r="L35" s="157">
        <v>300</v>
      </c>
      <c r="M35" s="158">
        <v>400</v>
      </c>
      <c r="N35" s="158">
        <v>500</v>
      </c>
      <c r="O35" s="175">
        <v>600</v>
      </c>
      <c r="P35" s="18"/>
    </row>
    <row r="36" spans="1:16" ht="19.5" customHeight="1">
      <c r="A36" s="18"/>
      <c r="B36" s="174" t="s">
        <v>92</v>
      </c>
      <c r="C36" s="156">
        <f t="shared" si="1"/>
        <v>3500</v>
      </c>
      <c r="D36" s="157">
        <v>200</v>
      </c>
      <c r="E36" s="157">
        <v>100</v>
      </c>
      <c r="F36" s="158">
        <v>200</v>
      </c>
      <c r="G36" s="158">
        <v>300</v>
      </c>
      <c r="H36" s="158">
        <v>400</v>
      </c>
      <c r="I36" s="157">
        <v>200</v>
      </c>
      <c r="J36" s="158">
        <v>100</v>
      </c>
      <c r="K36" s="158">
        <v>200</v>
      </c>
      <c r="L36" s="157">
        <v>300</v>
      </c>
      <c r="M36" s="158">
        <v>400</v>
      </c>
      <c r="N36" s="158">
        <v>500</v>
      </c>
      <c r="O36" s="175">
        <v>600</v>
      </c>
      <c r="P36" s="18"/>
    </row>
    <row r="37" spans="1:16" ht="19.5" customHeight="1">
      <c r="A37" s="18"/>
      <c r="B37" s="174" t="s">
        <v>93</v>
      </c>
      <c r="C37" s="156">
        <f t="shared" si="1"/>
        <v>3500</v>
      </c>
      <c r="D37" s="158">
        <v>100</v>
      </c>
      <c r="E37" s="158">
        <v>200</v>
      </c>
      <c r="F37" s="158">
        <v>300</v>
      </c>
      <c r="G37" s="158">
        <v>400</v>
      </c>
      <c r="H37" s="158">
        <v>500</v>
      </c>
      <c r="I37" s="158">
        <v>600</v>
      </c>
      <c r="J37" s="158">
        <v>200</v>
      </c>
      <c r="K37" s="158">
        <v>100</v>
      </c>
      <c r="L37" s="158">
        <v>200</v>
      </c>
      <c r="M37" s="158">
        <v>300</v>
      </c>
      <c r="N37" s="158">
        <v>400</v>
      </c>
      <c r="O37" s="175">
        <v>200</v>
      </c>
      <c r="P37" s="18"/>
    </row>
    <row r="38" spans="1:16" ht="19.5" customHeight="1">
      <c r="A38" s="18"/>
      <c r="B38" s="174" t="s">
        <v>94</v>
      </c>
      <c r="C38" s="156">
        <f t="shared" si="1"/>
        <v>3500</v>
      </c>
      <c r="D38" s="157">
        <v>200</v>
      </c>
      <c r="E38" s="158">
        <v>100</v>
      </c>
      <c r="F38" s="158">
        <v>200</v>
      </c>
      <c r="G38" s="158">
        <v>300</v>
      </c>
      <c r="H38" s="158">
        <v>400</v>
      </c>
      <c r="I38" s="158">
        <v>200</v>
      </c>
      <c r="J38" s="158">
        <v>100</v>
      </c>
      <c r="K38" s="158">
        <v>200</v>
      </c>
      <c r="L38" s="158">
        <v>300</v>
      </c>
      <c r="M38" s="158">
        <v>400</v>
      </c>
      <c r="N38" s="158">
        <v>500</v>
      </c>
      <c r="O38" s="175">
        <v>600</v>
      </c>
      <c r="P38" s="18"/>
    </row>
    <row r="39" spans="1:16" ht="19.5" customHeight="1">
      <c r="A39" s="18"/>
      <c r="B39" s="174" t="s">
        <v>95</v>
      </c>
      <c r="C39" s="156">
        <f t="shared" si="1"/>
        <v>3500</v>
      </c>
      <c r="D39" s="158">
        <v>200</v>
      </c>
      <c r="E39" s="158">
        <v>100</v>
      </c>
      <c r="F39" s="158">
        <v>200</v>
      </c>
      <c r="G39" s="158">
        <v>300</v>
      </c>
      <c r="H39" s="158">
        <v>400</v>
      </c>
      <c r="I39" s="158">
        <v>200</v>
      </c>
      <c r="J39" s="158">
        <v>100</v>
      </c>
      <c r="K39" s="158">
        <v>200</v>
      </c>
      <c r="L39" s="158">
        <v>300</v>
      </c>
      <c r="M39" s="158">
        <v>400</v>
      </c>
      <c r="N39" s="158">
        <v>500</v>
      </c>
      <c r="O39" s="175">
        <v>600</v>
      </c>
      <c r="P39" s="18"/>
    </row>
    <row r="40" spans="1:16" ht="15">
      <c r="A40" s="2"/>
      <c r="B40" s="2"/>
      <c r="C40" s="2"/>
      <c r="D40" s="2"/>
      <c r="E40" s="2"/>
      <c r="F40" s="2"/>
      <c r="G40" s="2"/>
      <c r="H40" s="2"/>
      <c r="I40" s="2"/>
      <c r="J40" s="2"/>
      <c r="K40" s="2"/>
      <c r="L40" s="2"/>
      <c r="M40" s="2"/>
      <c r="N40" s="2"/>
      <c r="O40" s="2"/>
      <c r="P40" s="2"/>
    </row>
  </sheetData>
  <mergeCells count="7">
    <mergeCell ref="N13:O13"/>
    <mergeCell ref="N14:O14"/>
    <mergeCell ref="C5:D5"/>
    <mergeCell ref="C7:D7"/>
    <mergeCell ref="C9:D9"/>
    <mergeCell ref="N11:O11"/>
    <mergeCell ref="N12:O12"/>
  </mergeCells>
  <printOptions horizontalCentered="1" gridLines="1"/>
  <pageMargins left="0.7" right="0.7" top="0.75" bottom="0.75" header="0" footer="0"/>
  <pageSetup fitToHeight="0" pageOrder="overThenDown" orientation="landscape" cellComments="atEnd"/>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3:B29"/>
  <sheetViews>
    <sheetView showGridLines="0" workbookViewId="0"/>
  </sheetViews>
  <sheetFormatPr defaultColWidth="12.5703125" defaultRowHeight="15.75" customHeight="1"/>
  <sheetData>
    <row r="23" spans="2:2" ht="15.75" customHeight="1">
      <c r="B23" s="176" t="s">
        <v>96</v>
      </c>
    </row>
    <row r="24" spans="2:2" ht="15.75" customHeight="1">
      <c r="B24" s="176"/>
    </row>
    <row r="25" spans="2:2" ht="15.75" customHeight="1">
      <c r="B25" s="176" t="s">
        <v>97</v>
      </c>
    </row>
    <row r="26" spans="2:2" ht="15.75" customHeight="1">
      <c r="B26" s="176" t="s">
        <v>98</v>
      </c>
    </row>
    <row r="27" spans="2:2" ht="15.75" customHeight="1">
      <c r="B27" s="176" t="s">
        <v>99</v>
      </c>
    </row>
    <row r="28" spans="2:2" ht="15.75" customHeight="1">
      <c r="B28" s="176"/>
    </row>
    <row r="29" spans="2:2" ht="15.75" customHeight="1">
      <c r="B29" s="176" t="s">
        <v>100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Mohsin Khan</cp:lastModifiedBy>
  <cp:revision/>
  <dcterms:created xsi:type="dcterms:W3CDTF">2026-02-27T22:02:03Z</dcterms:created>
  <dcterms:modified xsi:type="dcterms:W3CDTF">2026-02-27T22:02:03Z</dcterms:modified>
  <cp:category/>
  <cp:contentStatus/>
</cp:coreProperties>
</file>